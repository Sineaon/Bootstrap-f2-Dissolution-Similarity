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qb\Desktop\F2计算模版优化\"/>
    </mc:Choice>
  </mc:AlternateContent>
  <xr:revisionPtr revIDLastSave="0" documentId="13_ncr:1_{446DA6E4-C4B9-4CC0-BCCC-56165A4E93EA}" xr6:coauthVersionLast="47" xr6:coauthVersionMax="47" xr10:uidLastSave="{00000000-0000-0000-0000-000000000000}"/>
  <bookViews>
    <workbookView xWindow="-110" yWindow="-110" windowWidth="22620" windowHeight="13500" tabRatio="500" activeTab="4" xr2:uid="{00000000-000D-0000-FFFF-FFFF00000000}"/>
  </bookViews>
  <sheets>
    <sheet name="使用说明" sheetId="1" r:id="rId1"/>
    <sheet name="参比数据" sheetId="2" r:id="rId2"/>
    <sheet name="受试数据" sheetId="3" r:id="rId3"/>
    <sheet name="参数设置" sheetId="4" r:id="rId4"/>
    <sheet name="计算结果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10" i="3" l="1"/>
  <c r="O10" i="3"/>
  <c r="Q10" i="3" s="1"/>
  <c r="P9" i="3"/>
  <c r="O9" i="3"/>
  <c r="Q9" i="3" s="1"/>
  <c r="P8" i="3"/>
  <c r="Q8" i="3" s="1"/>
  <c r="O8" i="3"/>
  <c r="P7" i="3"/>
  <c r="O7" i="3"/>
  <c r="Q7" i="3" s="1"/>
  <c r="P6" i="3"/>
  <c r="O6" i="3"/>
  <c r="Q6" i="3" s="1"/>
  <c r="P5" i="3"/>
  <c r="O5" i="3"/>
  <c r="P10" i="2"/>
  <c r="Q10" i="2" s="1"/>
  <c r="O10" i="2"/>
  <c r="P9" i="2"/>
  <c r="O9" i="2"/>
  <c r="Q9" i="2" s="1"/>
  <c r="P8" i="2"/>
  <c r="O8" i="2"/>
  <c r="Q8" i="2" s="1"/>
  <c r="P7" i="2"/>
  <c r="O7" i="2"/>
  <c r="Q7" i="2" s="1"/>
  <c r="P6" i="2"/>
  <c r="Q6" i="2" s="1"/>
  <c r="O6" i="2"/>
  <c r="P5" i="2"/>
  <c r="O5" i="2"/>
  <c r="Q5" i="2" s="1"/>
  <c r="Q5" i="3" l="1"/>
</calcChain>
</file>

<file path=xl/sharedStrings.xml><?xml version="1.0" encoding="utf-8"?>
<sst xmlns="http://schemas.openxmlformats.org/spreadsheetml/2006/main" count="200" uniqueCount="164">
  <si>
    <t>▸  工作表说明</t>
  </si>
  <si>
    <t>▸  使用步骤</t>
  </si>
  <si>
    <t>▸  数据格式要求</t>
  </si>
  <si>
    <t>▸  方法原理</t>
  </si>
  <si>
    <t>Mendyk A, Pacławski A, Szlęk J, Jachowicz R.</t>
  </si>
  <si>
    <r>
      <rPr>
        <b/>
        <sz val="12"/>
        <color rgb="FFFFFFFF"/>
        <rFont val="Noto Sans CJK SC"/>
        <family val="2"/>
      </rPr>
      <t xml:space="preserve">参比制剂溶出数据  </t>
    </r>
    <r>
      <rPr>
        <b/>
        <sz val="12"/>
        <color rgb="FFFFFFFF"/>
        <rFont val="Arial"/>
        <family val="2"/>
      </rPr>
      <t xml:space="preserve">Reference (Comparator) Dissolution Data  /  </t>
    </r>
    <r>
      <rPr>
        <b/>
        <sz val="12"/>
        <color rgb="FFFFFFFF"/>
        <rFont val="Noto Sans CJK SC"/>
        <family val="2"/>
      </rPr>
      <t>时间</t>
    </r>
    <r>
      <rPr>
        <b/>
        <sz val="12"/>
        <color rgb="FFFFFFFF"/>
        <rFont val="Arial"/>
        <family val="2"/>
      </rPr>
      <t xml:space="preserve">(min) × </t>
    </r>
    <r>
      <rPr>
        <b/>
        <sz val="12"/>
        <color rgb="FFFFFFFF"/>
        <rFont val="Noto Sans CJK SC"/>
        <family val="2"/>
      </rPr>
      <t xml:space="preserve">批次 </t>
    </r>
    <r>
      <rPr>
        <b/>
        <sz val="12"/>
        <color rgb="FFFFFFFF"/>
        <rFont val="Arial"/>
        <family val="2"/>
      </rPr>
      <t xml:space="preserve">Batch × </t>
    </r>
    <r>
      <rPr>
        <b/>
        <sz val="12"/>
        <color rgb="FFFFFFFF"/>
        <rFont val="Noto Sans CJK SC"/>
        <family val="2"/>
      </rPr>
      <t>累积溶出</t>
    </r>
    <r>
      <rPr>
        <b/>
        <sz val="12"/>
        <color rgb="FFFFFFFF"/>
        <rFont val="Arial"/>
        <family val="2"/>
      </rPr>
      <t>% Q(%)</t>
    </r>
  </si>
  <si>
    <r>
      <rPr>
        <sz val="9"/>
        <color rgb="FF7F6000"/>
        <rFont val="Noto Sans CJK SC"/>
        <family val="2"/>
      </rPr>
      <t xml:space="preserve">⚠ 请在黄色单元格填入数据 </t>
    </r>
    <r>
      <rPr>
        <sz val="9"/>
        <color rgb="FF7F6000"/>
        <rFont val="Arial"/>
        <family val="2"/>
      </rPr>
      <t>· Enter dissolution data in yellow cells</t>
    </r>
  </si>
  <si>
    <r>
      <rPr>
        <sz val="8"/>
        <color rgb="FF7F0000"/>
        <rFont val="Arial"/>
        <family val="2"/>
      </rPr>
      <t xml:space="preserve">RSD </t>
    </r>
    <r>
      <rPr>
        <sz val="8"/>
        <color rgb="FF7F0000"/>
        <rFont val="Noto Sans CJK SC"/>
        <family val="2"/>
      </rPr>
      <t xml:space="preserve">超过 </t>
    </r>
    <r>
      <rPr>
        <sz val="8"/>
        <color rgb="FF7F0000"/>
        <rFont val="Arial"/>
        <family val="2"/>
      </rPr>
      <t>10%</t>
    </r>
    <r>
      <rPr>
        <sz val="8"/>
        <color rgb="FF7F0000"/>
        <rFont val="Noto Sans CJK SC"/>
        <family val="2"/>
      </rPr>
      <t xml:space="preserve">（首点 </t>
    </r>
    <r>
      <rPr>
        <sz val="8"/>
        <color rgb="FF7F0000"/>
        <rFont val="Arial"/>
        <family val="2"/>
      </rPr>
      <t>20%</t>
    </r>
    <r>
      <rPr>
        <sz val="8"/>
        <color rgb="FF7F0000"/>
        <rFont val="Noto Sans CJK SC"/>
        <family val="2"/>
      </rPr>
      <t xml:space="preserve">）时请运行 </t>
    </r>
    <r>
      <rPr>
        <sz val="8"/>
        <color rgb="FF7F0000"/>
        <rFont val="Arial"/>
        <family val="2"/>
      </rPr>
      <t xml:space="preserve">Bootstrap </t>
    </r>
    <r>
      <rPr>
        <sz val="8"/>
        <color rgb="FF7F0000"/>
        <rFont val="Noto Sans CJK SC"/>
        <family val="2"/>
      </rPr>
      <t xml:space="preserve">宏 </t>
    </r>
    <r>
      <rPr>
        <sz val="8"/>
        <color rgb="FF7F0000"/>
        <rFont val="Arial"/>
        <family val="2"/>
      </rPr>
      <t>/ Run Bootstrap macro when RSD exceeds thresholds</t>
    </r>
  </si>
  <si>
    <r>
      <rPr>
        <b/>
        <sz val="9"/>
        <color rgb="FFFFFFFF"/>
        <rFont val="Noto Sans CJK SC"/>
        <family val="2"/>
      </rPr>
      <t xml:space="preserve">时间
</t>
    </r>
    <r>
      <rPr>
        <b/>
        <sz val="9"/>
        <color rgb="FFFFFFFF"/>
        <rFont val="Arial"/>
        <family val="2"/>
      </rPr>
      <t>Time (min)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</si>
  <si>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1
Batch1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</si>
  <si>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2
Batch2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</si>
  <si>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3
Batch3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</si>
  <si>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4
Batch4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</si>
  <si>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5
Batch5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</si>
  <si>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6
Batch6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</si>
  <si>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7
Batch7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</si>
  <si>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8
Batch8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</si>
  <si>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9
Batch9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</si>
  <si>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10
Batch10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</si>
  <si>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11
Batch11</t>
    </r>
  </si>
  <si>
    <r>
      <rPr>
        <b/>
        <sz val="8"/>
        <color rgb="FFFFFFFF"/>
        <rFont val="Noto Sans CJK SC"/>
        <family val="2"/>
      </rPr>
      <t>批次</t>
    </r>
    <r>
      <rPr>
        <b/>
        <sz val="8"/>
        <color rgb="FFFFFFFF"/>
        <rFont val="Arial"/>
        <family val="2"/>
      </rPr>
      <t>12
Batch12</t>
    </r>
  </si>
  <si>
    <r>
      <rPr>
        <b/>
        <sz val="9"/>
        <color rgb="FFFFFFFF"/>
        <rFont val="Noto Sans CJK SC"/>
        <family val="2"/>
      </rPr>
      <t xml:space="preserve">均值
</t>
    </r>
    <r>
      <rPr>
        <b/>
        <sz val="9"/>
        <color rgb="FFFFFFFF"/>
        <rFont val="Arial"/>
        <family val="2"/>
      </rPr>
      <t>Mean</t>
    </r>
  </si>
  <si>
    <t>SD</t>
  </si>
  <si>
    <t>RSD (%)</t>
  </si>
  <si>
    <r>
      <rPr>
        <sz val="8"/>
        <color rgb="FF595959"/>
        <rFont val="Noto Sans CJK SC"/>
        <family val="2"/>
      </rPr>
      <t>↑ 如有更多时间点，继续向下填写（宏会自动识别行数）</t>
    </r>
    <r>
      <rPr>
        <sz val="8"/>
        <color rgb="FF595959"/>
        <rFont val="Arial"/>
        <family val="2"/>
      </rPr>
      <t>/ Add more rows for additional time points</t>
    </r>
  </si>
  <si>
    <r>
      <rPr>
        <b/>
        <sz val="12"/>
        <color rgb="FFFFFFFF"/>
        <rFont val="Noto Sans CJK SC"/>
        <family val="2"/>
      </rPr>
      <t xml:space="preserve">受试制剂溶出数据  </t>
    </r>
    <r>
      <rPr>
        <b/>
        <sz val="12"/>
        <color rgb="FFFFFFFF"/>
        <rFont val="Arial"/>
        <family val="2"/>
      </rPr>
      <t xml:space="preserve">Test Product Dissolution Data  /  </t>
    </r>
    <r>
      <rPr>
        <b/>
        <sz val="12"/>
        <color rgb="FFFFFFFF"/>
        <rFont val="Noto Sans CJK SC"/>
        <family val="2"/>
      </rPr>
      <t>时间</t>
    </r>
    <r>
      <rPr>
        <b/>
        <sz val="12"/>
        <color rgb="FFFFFFFF"/>
        <rFont val="Arial"/>
        <family val="2"/>
      </rPr>
      <t xml:space="preserve">(min) × </t>
    </r>
    <r>
      <rPr>
        <b/>
        <sz val="12"/>
        <color rgb="FFFFFFFF"/>
        <rFont val="Noto Sans CJK SC"/>
        <family val="2"/>
      </rPr>
      <t xml:space="preserve">批次 </t>
    </r>
    <r>
      <rPr>
        <b/>
        <sz val="12"/>
        <color rgb="FFFFFFFF"/>
        <rFont val="Arial"/>
        <family val="2"/>
      </rPr>
      <t xml:space="preserve">Batch × </t>
    </r>
    <r>
      <rPr>
        <b/>
        <sz val="12"/>
        <color rgb="FFFFFFFF"/>
        <rFont val="Noto Sans CJK SC"/>
        <family val="2"/>
      </rPr>
      <t>累积溶出</t>
    </r>
    <r>
      <rPr>
        <b/>
        <sz val="12"/>
        <color rgb="FFFFFFFF"/>
        <rFont val="Arial"/>
        <family val="2"/>
      </rPr>
      <t>% Q(%)</t>
    </r>
  </si>
  <si>
    <r>
      <rPr>
        <b/>
        <sz val="13"/>
        <color rgb="FFFFFFFF"/>
        <rFont val="Arial"/>
        <family val="2"/>
      </rPr>
      <t xml:space="preserve">Bootstrap </t>
    </r>
    <r>
      <rPr>
        <b/>
        <sz val="13"/>
        <color rgb="FFFFFFFF"/>
        <rFont val="Noto Sans CJK SC"/>
        <family val="2"/>
      </rPr>
      <t xml:space="preserve">参数设置  </t>
    </r>
    <r>
      <rPr>
        <b/>
        <sz val="13"/>
        <color rgb="FFFFFFFF"/>
        <rFont val="Arial"/>
        <family val="2"/>
      </rPr>
      <t>/  Parameter Settings</t>
    </r>
  </si>
  <si>
    <r>
      <rPr>
        <b/>
        <sz val="9"/>
        <color rgb="FFFFFFFF"/>
        <rFont val="Noto Sans CJK SC"/>
        <family val="2"/>
      </rPr>
      <t xml:space="preserve">参数 </t>
    </r>
    <r>
      <rPr>
        <b/>
        <sz val="9"/>
        <color rgb="FFFFFFFF"/>
        <rFont val="Arial"/>
        <family val="2"/>
      </rPr>
      <t>Parameter</t>
    </r>
  </si>
  <si>
    <r>
      <rPr>
        <b/>
        <sz val="9"/>
        <color rgb="FFFFFFFF"/>
        <rFont val="Noto Sans CJK SC"/>
        <family val="2"/>
      </rPr>
      <t xml:space="preserve">设定值 </t>
    </r>
    <r>
      <rPr>
        <b/>
        <sz val="9"/>
        <color rgb="FFFFFFFF"/>
        <rFont val="Arial"/>
        <family val="2"/>
      </rPr>
      <t>Value</t>
    </r>
  </si>
  <si>
    <r>
      <rPr>
        <b/>
        <sz val="9"/>
        <color rgb="FFFFFFFF"/>
        <rFont val="Noto Sans CJK SC"/>
        <family val="2"/>
      </rPr>
      <t xml:space="preserve">说明 </t>
    </r>
    <r>
      <rPr>
        <b/>
        <sz val="9"/>
        <color rgb="FFFFFFFF"/>
        <rFont val="Arial"/>
        <family val="2"/>
      </rPr>
      <t>Note</t>
    </r>
  </si>
  <si>
    <r>
      <rPr>
        <b/>
        <sz val="10"/>
        <color rgb="FF000000"/>
        <rFont val="Arial"/>
        <family val="2"/>
      </rPr>
      <t xml:space="preserve">Bootstrap </t>
    </r>
    <r>
      <rPr>
        <b/>
        <sz val="10"/>
        <color rgb="FF000000"/>
        <rFont val="Noto Sans CJK SC"/>
        <family val="2"/>
      </rPr>
      <t xml:space="preserve">迭代次数 </t>
    </r>
    <r>
      <rPr>
        <b/>
        <sz val="10"/>
        <color rgb="FF000000"/>
        <rFont val="Arial"/>
        <family val="2"/>
      </rPr>
      <t>/ N_bootstrap</t>
    </r>
  </si>
  <si>
    <r>
      <rPr>
        <sz val="9"/>
        <color rgb="FF595959"/>
        <rFont val="Noto Sans CJK SC"/>
        <family val="2"/>
      </rPr>
      <t xml:space="preserve">推荐 ≥ </t>
    </r>
    <r>
      <rPr>
        <sz val="9"/>
        <color rgb="FF595959"/>
        <rFont val="Arial"/>
        <family val="2"/>
      </rPr>
      <t>1000</t>
    </r>
    <r>
      <rPr>
        <sz val="9"/>
        <color rgb="FF595959"/>
        <rFont val="Noto Sans CJK SC"/>
        <family val="2"/>
      </rPr>
      <t xml:space="preserve">，默认 </t>
    </r>
    <r>
      <rPr>
        <sz val="9"/>
        <color rgb="FF595959"/>
        <rFont val="Arial"/>
        <family val="2"/>
      </rPr>
      <t>5000</t>
    </r>
    <r>
      <rPr>
        <sz val="9"/>
        <color rgb="FF595959"/>
        <rFont val="Noto Sans CJK SC"/>
        <family val="2"/>
      </rPr>
      <t>。数值越大结果越稳定，但耗时增加。</t>
    </r>
  </si>
  <si>
    <r>
      <rPr>
        <b/>
        <sz val="10"/>
        <color rgb="FF000000"/>
        <rFont val="Noto Sans CJK SC"/>
        <family val="2"/>
      </rPr>
      <t xml:space="preserve">置信区间 </t>
    </r>
    <r>
      <rPr>
        <b/>
        <sz val="10"/>
        <color rgb="FF000000"/>
        <rFont val="Arial"/>
        <family val="2"/>
      </rPr>
      <t>(%) / Confidence Interval</t>
    </r>
  </si>
  <si>
    <r>
      <rPr>
        <sz val="9"/>
        <color rgb="FF595959"/>
        <rFont val="Noto Sans CJK SC"/>
        <family val="2"/>
      </rPr>
      <t xml:space="preserve">通常选 </t>
    </r>
    <r>
      <rPr>
        <sz val="9"/>
        <color rgb="FF595959"/>
        <rFont val="Arial"/>
        <family val="2"/>
      </rPr>
      <t>90%</t>
    </r>
    <r>
      <rPr>
        <sz val="9"/>
        <color rgb="FF595959"/>
        <rFont val="Noto Sans CJK SC"/>
        <family val="2"/>
      </rPr>
      <t>（</t>
    </r>
    <r>
      <rPr>
        <sz val="9"/>
        <color rgb="FF595959"/>
        <rFont val="Arial"/>
        <family val="2"/>
      </rPr>
      <t xml:space="preserve">FDA </t>
    </r>
    <r>
      <rPr>
        <sz val="9"/>
        <color rgb="FF595959"/>
        <rFont val="Noto Sans CJK SC"/>
        <family val="2"/>
      </rPr>
      <t xml:space="preserve">建议）。范围 </t>
    </r>
    <r>
      <rPr>
        <sz val="9"/>
        <color rgb="FF595959"/>
        <rFont val="Arial"/>
        <family val="2"/>
      </rPr>
      <t>50–99</t>
    </r>
    <r>
      <rPr>
        <sz val="9"/>
        <color rgb="FF595959"/>
        <rFont val="Noto Sans CJK SC"/>
        <family val="2"/>
      </rPr>
      <t>。</t>
    </r>
  </si>
  <si>
    <r>
      <rPr>
        <b/>
        <sz val="10"/>
        <color rgb="FF000000"/>
        <rFont val="Noto Sans CJK SC"/>
        <family val="2"/>
      </rPr>
      <t xml:space="preserve">采样模式 </t>
    </r>
    <r>
      <rPr>
        <b/>
        <sz val="10"/>
        <color rgb="FF000000"/>
        <rFont val="Arial"/>
        <family val="2"/>
      </rPr>
      <t>/ Sampling Mode</t>
    </r>
  </si>
  <si>
    <t>whole_vectors</t>
  </si>
  <si>
    <r>
      <rPr>
        <sz val="9"/>
        <color rgb="FF595959"/>
        <rFont val="Arial"/>
        <family val="2"/>
      </rPr>
      <t xml:space="preserve">whole_vectors = </t>
    </r>
    <r>
      <rPr>
        <sz val="9"/>
        <color rgb="FF595959"/>
        <rFont val="Noto Sans CJK SC"/>
        <family val="2"/>
      </rPr>
      <t>整体向量（推荐）；</t>
    </r>
    <r>
      <rPr>
        <sz val="9"/>
        <color rgb="FF595959"/>
        <rFont val="Arial"/>
        <family val="2"/>
      </rPr>
      <t xml:space="preserve">individual_values = </t>
    </r>
    <r>
      <rPr>
        <sz val="9"/>
        <color rgb="FF595959"/>
        <rFont val="Noto Sans CJK SC"/>
        <family val="2"/>
      </rPr>
      <t>单点采样</t>
    </r>
  </si>
  <si>
    <r>
      <rPr>
        <b/>
        <sz val="10"/>
        <color rgb="FF000000"/>
        <rFont val="Arial"/>
        <family val="2"/>
      </rPr>
      <t xml:space="preserve">85% </t>
    </r>
    <r>
      <rPr>
        <b/>
        <sz val="10"/>
        <color rgb="FF000000"/>
        <rFont val="Noto Sans CJK SC"/>
        <family val="2"/>
      </rPr>
      <t xml:space="preserve">截断规则 </t>
    </r>
    <r>
      <rPr>
        <b/>
        <sz val="10"/>
        <color rgb="FF000000"/>
        <rFont val="Arial"/>
        <family val="2"/>
      </rPr>
      <t>/ Auto-rule</t>
    </r>
  </si>
  <si>
    <t>2profiles</t>
  </si>
  <si>
    <r>
      <rPr>
        <sz val="9"/>
        <color rgb="FF595959"/>
        <rFont val="Arial"/>
        <family val="2"/>
      </rPr>
      <t>2profiles</t>
    </r>
    <r>
      <rPr>
        <sz val="9"/>
        <color rgb="FF595959"/>
        <rFont val="Noto Sans CJK SC"/>
        <family val="2"/>
      </rPr>
      <t>（推荐</t>
    </r>
    <r>
      <rPr>
        <sz val="9"/>
        <color rgb="FF595959"/>
        <rFont val="Arial"/>
        <family val="2"/>
      </rPr>
      <t>/FDA</t>
    </r>
    <r>
      <rPr>
        <sz val="9"/>
        <color rgb="FF595959"/>
        <rFont val="Noto Sans CJK SC"/>
        <family val="2"/>
      </rPr>
      <t>）；</t>
    </r>
    <r>
      <rPr>
        <sz val="9"/>
        <color rgb="FF595959"/>
        <rFont val="Arial"/>
        <family val="2"/>
      </rPr>
      <t>1profile</t>
    </r>
    <r>
      <rPr>
        <sz val="9"/>
        <color rgb="FF595959"/>
        <rFont val="Noto Sans CJK SC"/>
        <family val="2"/>
      </rPr>
      <t>；</t>
    </r>
    <r>
      <rPr>
        <sz val="9"/>
        <color rgb="FF595959"/>
        <rFont val="Arial"/>
        <family val="2"/>
      </rPr>
      <t>no_auto</t>
    </r>
    <r>
      <rPr>
        <sz val="9"/>
        <color rgb="FF595959"/>
        <rFont val="Noto Sans CJK SC"/>
        <family val="2"/>
      </rPr>
      <t>（不截断）</t>
    </r>
  </si>
  <si>
    <r>
      <rPr>
        <b/>
        <sz val="10"/>
        <color rgb="FF000000"/>
        <rFont val="Noto Sans CJK SC"/>
        <family val="2"/>
      </rPr>
      <t xml:space="preserve">随机种子 </t>
    </r>
    <r>
      <rPr>
        <b/>
        <sz val="10"/>
        <color rgb="FF000000"/>
        <rFont val="Arial"/>
        <family val="2"/>
      </rPr>
      <t>/ Random Seed</t>
    </r>
  </si>
  <si>
    <t>固定种子保证重现性。更改此值可验证结果稳定性。</t>
  </si>
  <si>
    <r>
      <rPr>
        <sz val="9"/>
        <color rgb="FF7F6000"/>
        <rFont val="Noto Sans CJK SC"/>
        <family val="2"/>
      </rPr>
      <t xml:space="preserve">📝  参数说明：修改 </t>
    </r>
    <r>
      <rPr>
        <sz val="9"/>
        <color rgb="FF7F6000"/>
        <rFont val="Arial"/>
        <family val="2"/>
      </rPr>
      <t xml:space="preserve">C </t>
    </r>
    <r>
      <rPr>
        <sz val="9"/>
        <color rgb="FF7F6000"/>
        <rFont val="Noto Sans CJK SC"/>
        <family val="2"/>
      </rPr>
      <t xml:space="preserve">列黄色单元格中的值，然后运行宏 </t>
    </r>
    <r>
      <rPr>
        <sz val="9"/>
        <color rgb="FF7F6000"/>
        <rFont val="Arial"/>
        <family val="2"/>
      </rPr>
      <t>RunBootstrap</t>
    </r>
    <r>
      <rPr>
        <sz val="9"/>
        <color rgb="FF7F6000"/>
        <rFont val="Noto Sans CJK SC"/>
        <family val="2"/>
      </rPr>
      <t>（</t>
    </r>
    <r>
      <rPr>
        <sz val="9"/>
        <color rgb="FF7F6000"/>
        <rFont val="Arial"/>
        <family val="2"/>
      </rPr>
      <t>Alt+F8</t>
    </r>
    <r>
      <rPr>
        <sz val="9"/>
        <color rgb="FF7F6000"/>
        <rFont val="Noto Sans CJK SC"/>
        <family val="2"/>
      </rPr>
      <t xml:space="preserve">）。
    </t>
    </r>
    <r>
      <rPr>
        <sz val="9"/>
        <color rgb="FF7F6000"/>
        <rFont val="Arial"/>
        <family val="2"/>
      </rPr>
      <t>Note: Edit values in yellow (column C), then run RunBootstrap macro (Alt+F8).</t>
    </r>
  </si>
  <si>
    <r>
      <rPr>
        <b/>
        <sz val="13"/>
        <color rgb="FFFFFFFF"/>
        <rFont val="Arial"/>
        <family val="2"/>
      </rPr>
      <t xml:space="preserve">Bootstrap f2 </t>
    </r>
    <r>
      <rPr>
        <b/>
        <sz val="13"/>
        <color rgb="FFFFFFFF"/>
        <rFont val="Noto Sans CJK SC"/>
        <family val="2"/>
      </rPr>
      <t xml:space="preserve">溶出相似性分析结果  </t>
    </r>
    <r>
      <rPr>
        <b/>
        <sz val="13"/>
        <color rgb="FFFFFFFF"/>
        <rFont val="Arial"/>
        <family val="2"/>
      </rPr>
      <t>/  Bootstrap Dissolution Similarity Results</t>
    </r>
  </si>
  <si>
    <r>
      <rPr>
        <b/>
        <sz val="9"/>
        <color rgb="FFFFFFFF"/>
        <rFont val="Arial"/>
        <family val="2"/>
      </rPr>
      <t xml:space="preserve">▸  A. </t>
    </r>
    <r>
      <rPr>
        <b/>
        <sz val="9"/>
        <color rgb="FFFFFFFF"/>
        <rFont val="Noto Sans CJK SC"/>
        <family val="2"/>
      </rPr>
      <t xml:space="preserve">原始数据计算  </t>
    </r>
    <r>
      <rPr>
        <b/>
        <sz val="9"/>
        <color rgb="FFFFFFFF"/>
        <rFont val="Arial"/>
        <family val="2"/>
      </rPr>
      <t>/  Original Data</t>
    </r>
  </si>
  <si>
    <r>
      <rPr>
        <b/>
        <sz val="10"/>
        <color rgb="FF000000"/>
        <rFont val="Noto Sans CJK SC"/>
        <family val="2"/>
      </rPr>
      <t xml:space="preserve">差异因子 </t>
    </r>
    <r>
      <rPr>
        <b/>
        <sz val="10"/>
        <color rgb="FF000000"/>
        <rFont val="Arial"/>
        <family val="2"/>
      </rPr>
      <t>f1  /  Difference factor f1</t>
    </r>
  </si>
  <si>
    <r>
      <rPr>
        <sz val="9"/>
        <color rgb="FF595959"/>
        <rFont val="Arial"/>
        <family val="2"/>
      </rPr>
      <t>f1 &lt; 15</t>
    </r>
    <r>
      <rPr>
        <sz val="9"/>
        <color rgb="FF595959"/>
        <rFont val="Noto Sans CJK SC"/>
        <family val="2"/>
      </rPr>
      <t xml:space="preserve">：高度相似 </t>
    </r>
    <r>
      <rPr>
        <sz val="9"/>
        <color rgb="FF595959"/>
        <rFont val="Arial"/>
        <family val="2"/>
      </rPr>
      <t>/ f1 &lt; 15: highly similar</t>
    </r>
  </si>
  <si>
    <r>
      <rPr>
        <b/>
        <sz val="10"/>
        <color rgb="FF000000"/>
        <rFont val="Noto Sans CJK SC"/>
        <family val="2"/>
      </rPr>
      <t xml:space="preserve">相似因子 </t>
    </r>
    <r>
      <rPr>
        <b/>
        <sz val="10"/>
        <color rgb="FF000000"/>
        <rFont val="Arial"/>
        <family val="2"/>
      </rPr>
      <t>f2</t>
    </r>
    <r>
      <rPr>
        <b/>
        <sz val="10"/>
        <color rgb="FF000000"/>
        <rFont val="Noto Sans CJK SC"/>
        <family val="2"/>
      </rPr>
      <t>（原始）</t>
    </r>
    <r>
      <rPr>
        <b/>
        <sz val="10"/>
        <color rgb="FF000000"/>
        <rFont val="Arial"/>
        <family val="2"/>
      </rPr>
      <t>/ f2 (original)</t>
    </r>
  </si>
  <si>
    <r>
      <rPr>
        <sz val="9"/>
        <color rgb="FF595959"/>
        <rFont val="Arial"/>
        <family val="2"/>
      </rPr>
      <t>f2 &gt; 50</t>
    </r>
    <r>
      <rPr>
        <sz val="9"/>
        <color rgb="FF595959"/>
        <rFont val="Noto Sans CJK SC"/>
        <family val="2"/>
      </rPr>
      <t xml:space="preserve">：相似（仅供参考，需 </t>
    </r>
    <r>
      <rPr>
        <sz val="9"/>
        <color rgb="FF595959"/>
        <rFont val="Arial"/>
        <family val="2"/>
      </rPr>
      <t xml:space="preserve">Bootstrap </t>
    </r>
    <r>
      <rPr>
        <sz val="9"/>
        <color rgb="FF595959"/>
        <rFont val="Noto Sans CJK SC"/>
        <family val="2"/>
      </rPr>
      <t>确认）</t>
    </r>
  </si>
  <si>
    <r>
      <rPr>
        <b/>
        <sz val="10"/>
        <color rgb="FF000000"/>
        <rFont val="Arial"/>
        <family val="2"/>
      </rPr>
      <t xml:space="preserve">RSD </t>
    </r>
    <r>
      <rPr>
        <b/>
        <sz val="10"/>
        <color rgb="FF000000"/>
        <rFont val="Noto Sans CJK SC"/>
        <family val="2"/>
      </rPr>
      <t xml:space="preserve">检查  </t>
    </r>
    <r>
      <rPr>
        <b/>
        <sz val="10"/>
        <color rgb="FF000000"/>
        <rFont val="Arial"/>
        <family val="2"/>
      </rPr>
      <t>/  RSD Check</t>
    </r>
  </si>
  <si>
    <r>
      <rPr>
        <sz val="9"/>
        <color rgb="FF595959"/>
        <rFont val="Noto Sans CJK SC"/>
        <family val="2"/>
      </rPr>
      <t xml:space="preserve">任一时间点 </t>
    </r>
    <r>
      <rPr>
        <sz val="9"/>
        <color rgb="FF595959"/>
        <rFont val="Arial"/>
        <family val="2"/>
      </rPr>
      <t>RSD &gt; 10%</t>
    </r>
    <r>
      <rPr>
        <sz val="9"/>
        <color rgb="FF595959"/>
        <rFont val="Noto Sans CJK SC"/>
        <family val="2"/>
      </rPr>
      <t xml:space="preserve">（首点 </t>
    </r>
    <r>
      <rPr>
        <sz val="9"/>
        <color rgb="FF595959"/>
        <rFont val="Arial"/>
        <family val="2"/>
      </rPr>
      <t>&gt; 20%</t>
    </r>
    <r>
      <rPr>
        <sz val="9"/>
        <color rgb="FF595959"/>
        <rFont val="Noto Sans CJK SC"/>
        <family val="2"/>
      </rPr>
      <t xml:space="preserve">）→ 须 </t>
    </r>
    <r>
      <rPr>
        <sz val="9"/>
        <color rgb="FF595959"/>
        <rFont val="Arial"/>
        <family val="2"/>
      </rPr>
      <t>Bootstrap</t>
    </r>
  </si>
  <si>
    <r>
      <rPr>
        <b/>
        <sz val="10"/>
        <color rgb="FF000000"/>
        <rFont val="Noto Sans CJK SC"/>
        <family val="2"/>
      </rPr>
      <t xml:space="preserve">纳入计算时间点  </t>
    </r>
    <r>
      <rPr>
        <b/>
        <sz val="10"/>
        <color rgb="FF000000"/>
        <rFont val="Arial"/>
        <family val="2"/>
      </rPr>
      <t>/  Time points used</t>
    </r>
  </si>
  <si>
    <r>
      <rPr>
        <sz val="9"/>
        <color rgb="FF595959"/>
        <rFont val="Noto Sans CJK SC"/>
        <family val="2"/>
      </rPr>
      <t xml:space="preserve">经 </t>
    </r>
    <r>
      <rPr>
        <sz val="9"/>
        <color rgb="FF595959"/>
        <rFont val="Arial"/>
        <family val="2"/>
      </rPr>
      <t xml:space="preserve">85% </t>
    </r>
    <r>
      <rPr>
        <sz val="9"/>
        <color rgb="FF595959"/>
        <rFont val="Noto Sans CJK SC"/>
        <family val="2"/>
      </rPr>
      <t>截断规则处理后</t>
    </r>
  </si>
  <si>
    <r>
      <rPr>
        <b/>
        <sz val="9"/>
        <color rgb="FFFFFFFF"/>
        <rFont val="Arial"/>
        <family val="2"/>
      </rPr>
      <t xml:space="preserve">▸  B. Bootstrap </t>
    </r>
    <r>
      <rPr>
        <b/>
        <sz val="9"/>
        <color rgb="FFFFFFFF"/>
        <rFont val="Noto Sans CJK SC"/>
        <family val="2"/>
      </rPr>
      <t xml:space="preserve">分析  </t>
    </r>
    <r>
      <rPr>
        <b/>
        <sz val="9"/>
        <color rgb="FFFFFFFF"/>
        <rFont val="Arial"/>
        <family val="2"/>
      </rPr>
      <t>/  Bootstrap Analysis</t>
    </r>
  </si>
  <si>
    <r>
      <rPr>
        <b/>
        <sz val="10"/>
        <color rgb="FF000000"/>
        <rFont val="Arial"/>
        <family val="2"/>
      </rPr>
      <t xml:space="preserve">Bootstrap </t>
    </r>
    <r>
      <rPr>
        <b/>
        <sz val="10"/>
        <color rgb="FF000000"/>
        <rFont val="Noto Sans CJK SC"/>
        <family val="2"/>
      </rPr>
      <t xml:space="preserve">迭代次数  </t>
    </r>
    <r>
      <rPr>
        <b/>
        <sz val="10"/>
        <color rgb="FF000000"/>
        <rFont val="Arial"/>
        <family val="2"/>
      </rPr>
      <t>/  Iterations</t>
    </r>
  </si>
  <si>
    <r>
      <rPr>
        <b/>
        <sz val="10"/>
        <color rgb="FF000000"/>
        <rFont val="Noto Sans CJK SC"/>
        <family val="2"/>
      </rPr>
      <t xml:space="preserve">置信区间  </t>
    </r>
    <r>
      <rPr>
        <b/>
        <sz val="10"/>
        <color rgb="FF000000"/>
        <rFont val="Arial"/>
        <family val="2"/>
      </rPr>
      <t>/  Confidence Interval</t>
    </r>
  </si>
  <si>
    <r>
      <rPr>
        <b/>
        <sz val="10"/>
        <color rgb="FF000000"/>
        <rFont val="Noto Sans CJK SC"/>
        <family val="2"/>
      </rPr>
      <t xml:space="preserve">采样模式  </t>
    </r>
    <r>
      <rPr>
        <b/>
        <sz val="10"/>
        <color rgb="FF000000"/>
        <rFont val="Arial"/>
        <family val="2"/>
      </rPr>
      <t>/  Sampling Mode</t>
    </r>
  </si>
  <si>
    <r>
      <rPr>
        <b/>
        <sz val="10"/>
        <color rgb="FF000000"/>
        <rFont val="Arial"/>
        <family val="2"/>
      </rPr>
      <t xml:space="preserve">Bootstrap f2 </t>
    </r>
    <r>
      <rPr>
        <b/>
        <sz val="10"/>
        <color rgb="FF000000"/>
        <rFont val="Noto Sans CJK SC"/>
        <family val="2"/>
      </rPr>
      <t xml:space="preserve">均值  </t>
    </r>
    <r>
      <rPr>
        <b/>
        <sz val="10"/>
        <color rgb="FF000000"/>
        <rFont val="Arial"/>
        <family val="2"/>
      </rPr>
      <t>/  Mean f2 (bootstrap)</t>
    </r>
  </si>
  <si>
    <r>
      <rPr>
        <b/>
        <sz val="11"/>
        <color rgb="FF1F3864"/>
        <rFont val="Arial"/>
        <family val="2"/>
      </rPr>
      <t>⭐ f2*</t>
    </r>
    <r>
      <rPr>
        <b/>
        <sz val="11"/>
        <color rgb="FF1F3864"/>
        <rFont val="Noto Sans CJK SC"/>
        <family val="2"/>
      </rPr>
      <t xml:space="preserve">（下置信限 </t>
    </r>
    <r>
      <rPr>
        <b/>
        <sz val="11"/>
        <color rgb="FF1F3864"/>
        <rFont val="Arial"/>
        <family val="2"/>
      </rPr>
      <t>/ Lower CI</t>
    </r>
    <r>
      <rPr>
        <b/>
        <sz val="11"/>
        <color rgb="FF1F3864"/>
        <rFont val="Noto Sans CJK SC"/>
        <family val="2"/>
      </rPr>
      <t>）— 关键判断值</t>
    </r>
  </si>
  <si>
    <r>
      <rPr>
        <sz val="9"/>
        <color rgb="FF7F6000"/>
        <rFont val="Arial"/>
        <family val="2"/>
      </rPr>
      <t xml:space="preserve">f2* &gt; 50 → </t>
    </r>
    <r>
      <rPr>
        <sz val="9"/>
        <color rgb="FF7F6000"/>
        <rFont val="Noto Sans CJK SC"/>
        <family val="2"/>
      </rPr>
      <t xml:space="preserve">相似  </t>
    </r>
    <r>
      <rPr>
        <sz val="9"/>
        <color rgb="FF7F6000"/>
        <rFont val="Arial"/>
        <family val="2"/>
      </rPr>
      <t>/  f2* &gt; 50 → SIMILAR</t>
    </r>
  </si>
  <si>
    <r>
      <rPr>
        <b/>
        <sz val="10"/>
        <color rgb="FF000000"/>
        <rFont val="Arial"/>
        <family val="2"/>
      </rPr>
      <t xml:space="preserve">f2 </t>
    </r>
    <r>
      <rPr>
        <b/>
        <sz val="10"/>
        <color rgb="FF000000"/>
        <rFont val="Noto Sans CJK SC"/>
        <family val="2"/>
      </rPr>
      <t xml:space="preserve">上置信限  </t>
    </r>
    <r>
      <rPr>
        <b/>
        <sz val="10"/>
        <color rgb="FF000000"/>
        <rFont val="Arial"/>
        <family val="2"/>
      </rPr>
      <t>/  Upper CI</t>
    </r>
  </si>
  <si>
    <r>
      <rPr>
        <b/>
        <sz val="9"/>
        <color rgb="FFFFFFFF"/>
        <rFont val="Arial"/>
        <family val="2"/>
      </rPr>
      <t xml:space="preserve">▸  C. </t>
    </r>
    <r>
      <rPr>
        <b/>
        <sz val="9"/>
        <color rgb="FFFFFFFF"/>
        <rFont val="Noto Sans CJK SC"/>
        <family val="2"/>
      </rPr>
      <t xml:space="preserve">最终判定  </t>
    </r>
    <r>
      <rPr>
        <b/>
        <sz val="9"/>
        <color rgb="FFFFFFFF"/>
        <rFont val="Arial"/>
        <family val="2"/>
      </rPr>
      <t>/  Final Decision</t>
    </r>
  </si>
  <si>
    <r>
      <rPr>
        <b/>
        <sz val="11"/>
        <color rgb="FF000000"/>
        <rFont val="Noto Sans CJK SC"/>
        <family val="2"/>
      </rPr>
      <t xml:space="preserve">相似性判定  </t>
    </r>
    <r>
      <rPr>
        <b/>
        <sz val="11"/>
        <color rgb="FF000000"/>
        <rFont val="Arial"/>
        <family val="2"/>
      </rPr>
      <t>/  Similarity Decision</t>
    </r>
  </si>
  <si>
    <r>
      <rPr>
        <b/>
        <sz val="9"/>
        <color rgb="FFFFFFFF"/>
        <rFont val="Arial"/>
        <family val="2"/>
      </rPr>
      <t xml:space="preserve">▸  D. f2 </t>
    </r>
    <r>
      <rPr>
        <b/>
        <sz val="9"/>
        <color rgb="FFFFFFFF"/>
        <rFont val="Noto Sans CJK SC"/>
        <family val="2"/>
      </rPr>
      <t xml:space="preserve">分布统计  </t>
    </r>
    <r>
      <rPr>
        <b/>
        <sz val="9"/>
        <color rgb="FFFFFFFF"/>
        <rFont val="Arial"/>
        <family val="2"/>
      </rPr>
      <t>/  f2 Distribution</t>
    </r>
  </si>
  <si>
    <r>
      <rPr>
        <b/>
        <sz val="10"/>
        <color rgb="FF000000"/>
        <rFont val="Noto Sans CJK SC"/>
        <family val="2"/>
      </rPr>
      <t xml:space="preserve">最小值  </t>
    </r>
    <r>
      <rPr>
        <b/>
        <sz val="10"/>
        <color rgb="FF000000"/>
        <rFont val="Arial"/>
        <family val="2"/>
      </rPr>
      <t>Min f2</t>
    </r>
  </si>
  <si>
    <r>
      <rPr>
        <b/>
        <sz val="10"/>
        <color rgb="FF000000"/>
        <rFont val="Noto Sans CJK SC"/>
        <family val="2"/>
      </rPr>
      <t xml:space="preserve">中位数  </t>
    </r>
    <r>
      <rPr>
        <b/>
        <sz val="10"/>
        <color rgb="FF000000"/>
        <rFont val="Arial"/>
        <family val="2"/>
      </rPr>
      <t>Median f2</t>
    </r>
  </si>
  <si>
    <r>
      <rPr>
        <b/>
        <sz val="10"/>
        <color rgb="FF000000"/>
        <rFont val="Noto Sans CJK SC"/>
        <family val="2"/>
      </rPr>
      <t xml:space="preserve">最大值  </t>
    </r>
    <r>
      <rPr>
        <b/>
        <sz val="10"/>
        <color rgb="FF000000"/>
        <rFont val="Arial"/>
        <family val="2"/>
      </rPr>
      <t>Max f2</t>
    </r>
  </si>
  <si>
    <r>
      <rPr>
        <b/>
        <sz val="10"/>
        <color rgb="FF000000"/>
        <rFont val="Noto Sans CJK SC"/>
        <family val="2"/>
      </rPr>
      <t xml:space="preserve">标准差  </t>
    </r>
    <r>
      <rPr>
        <b/>
        <sz val="10"/>
        <color rgb="FF000000"/>
        <rFont val="Arial"/>
        <family val="2"/>
      </rPr>
      <t>SD f2</t>
    </r>
  </si>
  <si>
    <r>
      <rPr>
        <b/>
        <sz val="9"/>
        <color rgb="FFFFFFFF"/>
        <rFont val="Arial"/>
        <family val="2"/>
      </rPr>
      <t xml:space="preserve">▸  E. </t>
    </r>
    <r>
      <rPr>
        <b/>
        <sz val="9"/>
        <color rgb="FFFFFFFF"/>
        <rFont val="Noto Sans CJK SC"/>
        <family val="2"/>
      </rPr>
      <t xml:space="preserve">时间点均值比较  </t>
    </r>
    <r>
      <rPr>
        <b/>
        <sz val="9"/>
        <color rgb="FFFFFFFF"/>
        <rFont val="Arial"/>
        <family val="2"/>
      </rPr>
      <t>/  Mean Dissolution by Time Point</t>
    </r>
  </si>
  <si>
    <r>
      <rPr>
        <b/>
        <sz val="9"/>
        <color rgb="FFFFFFFF"/>
        <rFont val="Noto Sans CJK SC"/>
        <family val="2"/>
      </rPr>
      <t xml:space="preserve">时间 </t>
    </r>
    <r>
      <rPr>
        <b/>
        <sz val="9"/>
        <color rgb="FFFFFFFF"/>
        <rFont val="Arial"/>
        <family val="2"/>
      </rPr>
      <t>Time (min)</t>
    </r>
  </si>
  <si>
    <r>
      <rPr>
        <b/>
        <sz val="9"/>
        <color rgb="FFFFFFFF"/>
        <rFont val="Noto Sans CJK SC"/>
        <family val="2"/>
      </rPr>
      <t xml:space="preserve">参比均值 </t>
    </r>
    <r>
      <rPr>
        <b/>
        <sz val="9"/>
        <color rgb="FFFFFFFF"/>
        <rFont val="Arial"/>
        <family val="2"/>
      </rPr>
      <t>/ Reference Mean (%)</t>
    </r>
  </si>
  <si>
    <r>
      <rPr>
        <b/>
        <sz val="9"/>
        <color rgb="FFFFFFFF"/>
        <rFont val="Noto Sans CJK SC"/>
        <family val="2"/>
      </rPr>
      <t xml:space="preserve">受试均值 </t>
    </r>
    <r>
      <rPr>
        <b/>
        <sz val="9"/>
        <color rgb="FFFFFFFF"/>
        <rFont val="Arial"/>
        <family val="2"/>
      </rPr>
      <t>/ Test Mean (%)</t>
    </r>
  </si>
  <si>
    <r>
      <rPr>
        <b/>
        <sz val="9"/>
        <color rgb="FFFFFFFF"/>
        <rFont val="Arial"/>
        <family val="2"/>
      </rPr>
      <t>|</t>
    </r>
    <r>
      <rPr>
        <b/>
        <sz val="9"/>
        <color rgb="FFFFFFFF"/>
        <rFont val="Noto Sans CJK SC"/>
        <family val="2"/>
      </rPr>
      <t>差值</t>
    </r>
    <r>
      <rPr>
        <b/>
        <sz val="9"/>
        <color rgb="FFFFFFFF"/>
        <rFont val="Arial"/>
        <family val="2"/>
      </rPr>
      <t>| |Diff|</t>
    </r>
  </si>
  <si>
    <r>
      <rPr>
        <sz val="8"/>
        <color rgb="FF595959"/>
        <rFont val="Noto Sans CJK SC"/>
        <family val="2"/>
      </rPr>
      <t xml:space="preserve">引用 </t>
    </r>
    <r>
      <rPr>
        <sz val="8"/>
        <color rgb="FF595959"/>
        <rFont val="Arial"/>
        <family val="2"/>
      </rPr>
      <t>/ Citation: Mendyk A, Pacławski A, Szlęk J, Jachowicz R. PhEq_bootstrap: Open Source software for simulation of f2 distribution in cases of a large variability in the dissolution profiles. Dissolut Technol, 20(1), 2013, 13–17.</t>
    </r>
  </si>
  <si>
    <t>7 / 7</t>
    <phoneticPr fontId="24" type="noConversion"/>
  </si>
  <si>
    <t>5000</t>
    <phoneticPr fontId="24" type="noConversion"/>
  </si>
  <si>
    <t>90%</t>
    <phoneticPr fontId="24" type="noConversion"/>
  </si>
  <si>
    <t>whole_vectors</t>
    <phoneticPr fontId="24" type="noConversion"/>
  </si>
  <si>
    <t>Bootstrap f2  溶出曲线相似性分析模板  |  Dissolution Profile Similarity Analysis Template</t>
  </si>
  <si>
    <t/>
  </si>
  <si>
    <t>中文说明  /  Chinese</t>
  </si>
  <si>
    <t>English  /  英文说明</t>
  </si>
  <si>
    <t>▸  Worksheet Overview</t>
  </si>
  <si>
    <t>① 使用说明  —  本页</t>
  </si>
  <si>
    <t>① Instructions  —  This page</t>
  </si>
  <si>
    <t>② 参比数据  —  输入参比制剂溶出数据（黄色单元格）</t>
  </si>
  <si>
    <t>② Reference Data  —  Enter Reference Product dissolution data (yellow cells)</t>
  </si>
  <si>
    <t>③ 受试数据  —  输入受试制剂溶出数据（黄色单元格）</t>
  </si>
  <si>
    <t>③ Test Data  —  Enter Test Product dissolution data (yellow cells)</t>
  </si>
  <si>
    <t>④ 参数设置  —  调整 Bootstrap 迭代次数、置信区间等参数</t>
  </si>
  <si>
    <t>④ Parameters  —  Configure Bootstrap iterations, confidence interval, etc.</t>
  </si>
  <si>
    <t>⑤ 计算结果  —  宏运行后自动更新，包含 f2* 相似性判定结论</t>
  </si>
  <si>
    <t>⑤ Results  —  Auto-updated after macro run; includes f2* similarity decision</t>
  </si>
  <si>
    <t>▸  How to Use</t>
  </si>
  <si>
    <t>Step 1  在【参比数据】黄色单元格填入参比制剂各批次溶出数据</t>
  </si>
  <si>
    <t>Step 1  Enter Reference Product batch dissolution data in yellow cells of [Reference Data] sheet</t>
  </si>
  <si>
    <t>Step 2  在【受试数据】黄色单元格填入受试制剂各批次溶出数据</t>
  </si>
  <si>
    <t>Step 2  Enter Test Product batch dissolution data in yellow cells of [Test Data] sheet</t>
  </si>
  <si>
    <t>Step 3  在【参数设置】中按需调整 Bootstrap 次数、置信区间、采样模式及 85% 截断规则</t>
  </si>
  <si>
    <t>Step 3  Adjust Bootstrap iterations, confidence interval, sampling mode and 85% rule in [Parameters]</t>
  </si>
  <si>
    <t>Step 4  切换至【计算结果】页，点击蓝色 ▶ Run Bootstrap 按钮（D13 单元格）</t>
  </si>
  <si>
    <t>Step 4  Go to [Results] sheet and click the blue ▶ Run Bootstrap button (cell D13)</t>
  </si>
  <si>
    <t>Step 5  等待进度完成（约 10–60 秒），弹出框显示相似性判定结论</t>
  </si>
  <si>
    <t>Step 5  Wait for completion (~10–60 s); a message box displays the similarity decision</t>
  </si>
  <si>
    <t>Step 6  在【计算结果】页查看 f2*（90% 下置信限）及全部统计结果</t>
  </si>
  <si>
    <t>Step 6  Review f2* (90% lower CI) and all statistical outputs in [Results] sheet</t>
  </si>
  <si>
    <t>▸  Data Format Requirements</t>
  </si>
  <si>
    <t>• B 列：采样时间（分钟），从第 5 行开始逐行填写</t>
  </si>
  <si>
    <t>• Column B: Sampling time (min), starting from row 5</t>
  </si>
  <si>
    <t>• C 列起：各批次累积溶出百分比（%），每列对应一个批次</t>
  </si>
  <si>
    <t>• From column C: Cumulative dissolution (%) per batch, one batch per column</t>
  </si>
  <si>
    <t>• 参比数据与受试数据的时间点数量必须完全一致</t>
  </si>
  <si>
    <t>• Reference and Test data must have exactly the same number of time points</t>
  </si>
  <si>
    <t>• 小数点使用英文句号 '.'，禁止使用千分位符号</t>
  </si>
  <si>
    <t>• Use '.' as decimal point; thousands separators are not allowed</t>
  </si>
  <si>
    <t>• 至少需要 3 个时间点；建议每组 12 个批次（可少于 12）</t>
  </si>
  <si>
    <t>• Minimum 3 time points required; 12 batches per group recommended (fewer is acceptable)</t>
  </si>
  <si>
    <t>• 当 RSD &gt; 10%（首点 &gt; 20%）时，必须通过 Bootstrap 法计算 f2</t>
  </si>
  <si>
    <t>• When RSD &gt; 10% (&gt; 20% at first point), Bootstrap method must be used instead of direct f2</t>
  </si>
  <si>
    <t>▸  Method Background</t>
  </si>
  <si>
    <t>FDA 指南规定：当 RSD &gt; 10%（首时间点 &gt; 20%）时，不可直接使用 f2</t>
  </si>
  <si>
    <t>Per FDA guidance: direct use of f2 is not valid when RSD &gt; 10% (&gt; 20% at first time point)</t>
  </si>
  <si>
    <t>Bootstrap 法对原始溶出数据进行有放回重抽样，模拟 f2 的统计分布</t>
  </si>
  <si>
    <t>Bootstrap resamples original dissolution data with replacement to simulate the statistical distribution of f2</t>
  </si>
  <si>
    <t>取 f2 分布的下置信限 f2*（通常为 90% CI）作为最坏情况的保守估计</t>
  </si>
  <si>
    <t>The lower confidence limit f2* (typically 90% CI) is used as a conservative worst-case estimate</t>
  </si>
  <si>
    <t>判断准则：f2* &gt; 50 → 溶出曲线相似 ✔   f2* ≤ 50 → 不能确认相似 ✘</t>
  </si>
  <si>
    <t>Decision rule: f2* &gt; 50 → Profiles are SIMILAR ✔   f2* ≤ 50 → Similarity NOT confirmed ✘</t>
  </si>
  <si>
    <t>▸  计算公式</t>
  </si>
  <si>
    <t>▸  Calculation Formulas</t>
  </si>
  <si>
    <t>相似因子  f2 = 50 × log₁₀ { 100 / √[ 1 + (1/n) × Σ(Rt − Tt)² ] }</t>
  </si>
  <si>
    <t>Similarity factor  f2 = 50 × log₁₀ { 100 / √[ 1 + (1/n) × Σ(Rt − Tt)² ] }</t>
  </si>
  <si>
    <t>差异因子  f1 = 100 × Σ|Rt − Tt| / ΣRt</t>
  </si>
  <si>
    <t>Difference factor  f1 = 100 × Σ|Rt − Tt| / ΣRt</t>
  </si>
  <si>
    <t>Rt = 参比制剂在时间点 t 的平均累积溶出百分比（%）</t>
  </si>
  <si>
    <t>Rt = mean cumulative dissolution (%) of Reference Product at time point t</t>
  </si>
  <si>
    <t>Tt = 受试制剂在时间点 t 的平均累积溶出百分比（%）</t>
  </si>
  <si>
    <t>Tt = mean cumulative dissolution (%) of Test Product at time point t</t>
  </si>
  <si>
    <t>n  = 纳入计算的时间点总数（经 85% 截断规则处理后）</t>
  </si>
  <si>
    <t>n  = total number of time points included after applying the 85% truncation rule</t>
  </si>
  <si>
    <t>▸  参数说明</t>
  </si>
  <si>
    <t>▸  Parameter Descriptions</t>
  </si>
  <si>
    <t>Bootstrap 迭代次数（默认 5000）：建议 ≥ 1000；越大结果越稳定，耗时越长</t>
  </si>
  <si>
    <t>Bootstrap iterations (default 5000): ≥ 1000 recommended; more = more stable, but slower</t>
  </si>
  <si>
    <t>置信区间（默认 90%）：符合 FDA 指南推荐，可根据监管要求调整</t>
  </si>
  <si>
    <t>Confidence interval (default 90%): per FDA guidance; adjust according to regulatory requirements</t>
  </si>
  <si>
    <t>采样模式 whole_vectors（推荐）：对完整溶出曲线向量进行重采样</t>
  </si>
  <si>
    <t>Sampling mode whole_vectors (recommended): resamples complete dissolution profile vectors</t>
  </si>
  <si>
    <t>采样模式 individual_values：对各时间点数据独立重采样</t>
  </si>
  <si>
    <t>Sampling mode individual_values: resamples each time point independently</t>
  </si>
  <si>
    <t>85% 截断规则 2-profiles（默认/FDA 推荐）：两条曲线均超过 85% 时截断计算</t>
  </si>
  <si>
    <t>85% rule 2-profiles (default/FDA recommended): truncates when both profiles exceed 85%</t>
  </si>
  <si>
    <t>随机种子（默认 42）：固定种子保证结果可重现；更改可验证结果稳定性</t>
  </si>
  <si>
    <t>Random seed (default 42): fixed seed ensures reproducibility; change to verify stability</t>
  </si>
  <si>
    <t>▸  引用文献</t>
  </si>
  <si>
    <t>▸  Reference</t>
  </si>
  <si>
    <t>PhEq_bootstrap：溶出曲线大变异情况下 f2 分布模拟的开源软件</t>
  </si>
  <si>
    <t>PhEq_bootstrap: an Open Source software for simulation of f2 distribution</t>
  </si>
  <si>
    <t>Dissolut Technol, 2013, 20(1): 13–17.</t>
  </si>
  <si>
    <t>in cases of large variability in dissolution profiles. Dissolut Technol, 2013, 20(1): 13–17.</t>
  </si>
  <si>
    <t>Shah VP et al. In Vitro Dissolution Profile Comparison — Statistics and Analysis of the Similarity Factor, f2.</t>
  </si>
  <si>
    <t>Pharm Res, 1998, 15(6): 889–896.</t>
  </si>
  <si>
    <t xml:space="preserve">Ref: t1(RSD=27.1%) t2(RSD=33.1%) t3(RSD=35.1%) t4(RSD=37.1%) t5(RSD=38.1%) t6(RSD=38.1%)  | Test: t1(RSD=105.1%) t2(RSD=29.1%) t3(RSD=36.1%) t4(RSD=36.1%) t5(RSD=36.1%) t6(RSD=36.1%) </t>
    <phoneticPr fontId="24" type="noConversion"/>
  </si>
  <si>
    <t>NOT SIMILAR  (f2* = 42.75 &lt;= 50)  --&gt;  Target f2 &gt;= 83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</si>
</sst>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2">
    <font>
      <sz val="11"/>
      <color theme="1"/>
      <name val="Calibri"/>
      <family val="2"/>
      <charset val="1"/>
    </font>
    <font>
      <b/>
      <sz val="9"/>
      <color rgb="FFFFFFFF"/>
      <name val="Noto Sans CJK SC"/>
      <family val="2"/>
    </font>
    <font>
      <sz val="10"/>
      <color rgb="FF000000"/>
      <name val="Arial"/>
      <family val="2"/>
    </font>
    <font>
      <b/>
      <sz val="9"/>
      <color rgb="FFFFFFFF"/>
      <name val="Arial"/>
      <family val="2"/>
    </font>
    <font>
      <b/>
      <sz val="12"/>
      <color rgb="FFFFFFFF"/>
      <name val="Noto Sans CJK SC"/>
      <family val="2"/>
    </font>
    <font>
      <b/>
      <sz val="12"/>
      <color rgb="FFFFFFFF"/>
      <name val="Arial"/>
      <family val="2"/>
    </font>
    <font>
      <sz val="9"/>
      <color rgb="FF7F6000"/>
      <name val="Noto Sans CJK SC"/>
      <family val="2"/>
    </font>
    <font>
      <sz val="9"/>
      <color rgb="FF7F6000"/>
      <name val="Arial"/>
      <family val="2"/>
    </font>
    <font>
      <sz val="8"/>
      <color rgb="FF7F0000"/>
      <name val="Arial"/>
      <family val="2"/>
    </font>
    <font>
      <sz val="8"/>
      <color rgb="FF7F0000"/>
      <name val="Noto Sans CJK SC"/>
      <family val="2"/>
    </font>
    <font>
      <b/>
      <sz val="8"/>
      <color rgb="FFFFFFFF"/>
      <name val="Noto Sans CJK SC"/>
      <family val="2"/>
    </font>
    <font>
      <b/>
      <sz val="8"/>
      <color rgb="FFFFFFFF"/>
      <name val="Arial"/>
      <family val="2"/>
    </font>
    <font>
      <b/>
      <sz val="10"/>
      <color rgb="FF000000"/>
      <name val="Arial"/>
      <family val="2"/>
    </font>
    <font>
      <sz val="8"/>
      <color rgb="FF595959"/>
      <name val="Noto Sans CJK SC"/>
      <family val="2"/>
    </font>
    <font>
      <sz val="8"/>
      <color rgb="FF595959"/>
      <name val="Arial"/>
      <family val="2"/>
    </font>
    <font>
      <b/>
      <sz val="13"/>
      <color rgb="FFFFFFFF"/>
      <name val="Arial"/>
      <family val="2"/>
    </font>
    <font>
      <b/>
      <sz val="13"/>
      <color rgb="FFFFFFFF"/>
      <name val="Noto Sans CJK SC"/>
      <family val="2"/>
    </font>
    <font>
      <b/>
      <sz val="10"/>
      <color rgb="FF000000"/>
      <name val="Noto Sans CJK SC"/>
      <family val="2"/>
    </font>
    <font>
      <sz val="9"/>
      <color rgb="FF595959"/>
      <name val="Noto Sans CJK SC"/>
      <family val="2"/>
    </font>
    <font>
      <sz val="9"/>
      <color rgb="FF595959"/>
      <name val="Arial"/>
      <family val="2"/>
    </font>
    <font>
      <b/>
      <sz val="11"/>
      <color rgb="FF1F3864"/>
      <name val="Arial"/>
      <family val="2"/>
    </font>
    <font>
      <b/>
      <sz val="11"/>
      <color rgb="FF1F3864"/>
      <name val="Noto Sans CJK SC"/>
      <family val="2"/>
    </font>
    <font>
      <b/>
      <sz val="11"/>
      <color rgb="FF000000"/>
      <name val="Noto Sans CJK SC"/>
      <family val="2"/>
    </font>
    <font>
      <b/>
      <sz val="11"/>
      <color rgb="FF000000"/>
      <name val="Arial"/>
      <family val="2"/>
    </font>
    <font>
      <sz val="9"/>
      <name val="宋体"/>
      <family val="3"/>
      <charset val="134"/>
    </font>
    <font>
      <b/>
      <sz val="13"/>
      <color rgb="FF9C0098"/>
      <name val="Arial"/>
      <family val="2"/>
    </font>
    <font>
      <b/>
      <sz val="11"/>
      <color rgb="FF9C0098"/>
      <name val="Noto Sans CJK SC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sz val="9.5"/>
      <color rgb="FF1F3864"/>
      <name val="Arial"/>
      <family val="2"/>
    </font>
    <font>
      <sz val="9.5"/>
      <color rgb="FF1E5AA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2E75B6"/>
        <bgColor rgb="FF0066CC"/>
      </patternFill>
    </fill>
    <fill>
      <patternFill patternType="solid">
        <fgColor rgb="FFF2F2F2"/>
        <bgColor rgb="FFE2EFDA"/>
      </patternFill>
    </fill>
    <fill>
      <patternFill patternType="solid">
        <fgColor rgb="FFFFFFFF"/>
        <bgColor rgb="FFF2F2F2"/>
      </patternFill>
    </fill>
    <fill>
      <patternFill patternType="solid">
        <fgColor rgb="FFFFF2CC"/>
        <bgColor rgb="FFF2F2F2"/>
      </patternFill>
    </fill>
    <fill>
      <patternFill patternType="solid">
        <fgColor rgb="FFFFC7CE"/>
        <bgColor rgb="FFFFF2CC"/>
      </patternFill>
    </fill>
    <fill>
      <patternFill patternType="solid">
        <fgColor rgb="FFD6E4F0"/>
        <bgColor rgb="FFE2EFDA"/>
      </patternFill>
    </fill>
    <fill>
      <patternFill patternType="solid">
        <fgColor rgb="FFE2EFDA"/>
        <bgColor rgb="FFF2F2F2"/>
      </patternFill>
    </fill>
    <fill>
      <patternFill patternType="solid">
        <fgColor rgb="FFCFF9CE"/>
        <bgColor rgb="FFF2F2F2"/>
      </patternFill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4472C4"/>
      </patternFill>
    </fill>
    <fill>
      <patternFill patternType="solid">
        <fgColor rgb="FFF2F2F2"/>
      </patternFill>
    </fill>
    <fill>
      <patternFill patternType="solid">
        <fgColor rgb="FFFFFFFF"/>
      </patternFill>
    </fill>
  </fills>
  <borders count="4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4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1" fontId="12" fillId="8" borderId="2" xfId="0" applyNumberFormat="1" applyFont="1" applyFill="1" applyBorder="1" applyAlignment="1">
      <alignment horizontal="center" vertical="center" wrapText="1"/>
    </xf>
    <xf numFmtId="2" fontId="2" fillId="6" borderId="2" xfId="0" applyNumberFormat="1" applyFont="1" applyFill="1" applyBorder="1" applyAlignment="1">
      <alignment horizontal="center" vertical="center" wrapText="1"/>
    </xf>
    <xf numFmtId="2" fontId="2" fillId="9" borderId="2" xfId="0" applyNumberFormat="1" applyFont="1" applyFill="1" applyBorder="1" applyAlignment="1">
      <alignment horizontal="center" vertical="center" wrapText="1"/>
    </xf>
    <xf numFmtId="176" fontId="2" fillId="4" borderId="2" xfId="0" applyNumberFormat="1" applyFont="1" applyFill="1" applyBorder="1" applyAlignment="1">
      <alignment horizontal="center" vertical="center" wrapText="1"/>
    </xf>
    <xf numFmtId="0" fontId="12" fillId="8" borderId="2" xfId="0" applyFont="1" applyFill="1" applyBorder="1" applyAlignment="1">
      <alignment horizontal="left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7" fillId="8" borderId="2" xfId="0" applyFont="1" applyFill="1" applyBorder="1" applyAlignment="1">
      <alignment horizontal="left" vertical="center" wrapText="1"/>
    </xf>
    <xf numFmtId="0" fontId="19" fillId="4" borderId="2" xfId="0" applyFont="1" applyFill="1" applyBorder="1" applyAlignment="1">
      <alignment horizontal="left" vertical="center" wrapText="1"/>
    </xf>
    <xf numFmtId="0" fontId="17" fillId="4" borderId="2" xfId="0" applyFont="1" applyFill="1" applyBorder="1" applyAlignment="1">
      <alignment horizontal="left" vertical="center" wrapText="1"/>
    </xf>
    <xf numFmtId="49" fontId="2" fillId="8" borderId="2" xfId="0" applyNumberFormat="1" applyFont="1" applyFill="1" applyBorder="1" applyAlignment="1">
      <alignment horizontal="center" vertical="center" wrapText="1"/>
    </xf>
    <xf numFmtId="0" fontId="19" fillId="5" borderId="2" xfId="0" applyFont="1" applyFill="1" applyBorder="1" applyAlignment="1">
      <alignment horizontal="left" vertical="center" wrapText="1"/>
    </xf>
    <xf numFmtId="0" fontId="12" fillId="4" borderId="2" xfId="0" applyFont="1" applyFill="1" applyBorder="1" applyAlignment="1">
      <alignment horizontal="left" vertical="center" wrapText="1"/>
    </xf>
    <xf numFmtId="0" fontId="18" fillId="5" borderId="2" xfId="0" applyFont="1" applyFill="1" applyBorder="1" applyAlignment="1">
      <alignment horizontal="left" vertical="center" wrapText="1"/>
    </xf>
    <xf numFmtId="0" fontId="20" fillId="8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22" fillId="4" borderId="2" xfId="0" applyFont="1" applyFill="1" applyBorder="1" applyAlignment="1">
      <alignment horizontal="left" vertical="center" wrapText="1"/>
    </xf>
    <xf numFmtId="0" fontId="2" fillId="5" borderId="2" xfId="0" applyFont="1" applyFill="1" applyBorder="1" applyAlignment="1">
      <alignment horizontal="center" vertical="center" wrapText="1"/>
    </xf>
    <xf numFmtId="2" fontId="2" fillId="8" borderId="2" xfId="0" applyNumberFormat="1" applyFont="1" applyFill="1" applyBorder="1" applyAlignment="1">
      <alignment horizontal="center" vertical="center" wrapText="1"/>
    </xf>
    <xf numFmtId="2" fontId="25" fillId="10" borderId="2" xfId="0" applyNumberFormat="1" applyFont="1" applyFill="1" applyBorder="1" applyAlignment="1">
      <alignment horizontal="center" vertical="center" wrapText="1"/>
    </xf>
    <xf numFmtId="49" fontId="26" fillId="10" borderId="2" xfId="0" applyNumberFormat="1" applyFont="1" applyFill="1" applyBorder="1" applyAlignment="1">
      <alignment horizontal="center" vertical="center" wrapText="1"/>
    </xf>
    <xf numFmtId="0" fontId="28" fillId="12" borderId="3" xfId="0" applyFont="1" applyFill="1" applyBorder="1" applyAlignment="1">
      <alignment horizontal="left" vertical="center"/>
    </xf>
    <xf numFmtId="0" fontId="28" fillId="12" borderId="3" xfId="0" applyFont="1" applyFill="1" applyBorder="1" applyAlignment="1">
      <alignment horizontal="left" vertical="center"/>
    </xf>
    <xf numFmtId="0" fontId="29" fillId="13" borderId="3" xfId="0" applyFont="1" applyFill="1" applyBorder="1" applyAlignment="1">
      <alignment horizontal="center" vertical="center"/>
    </xf>
    <xf numFmtId="0" fontId="30" fillId="15" borderId="3" xfId="0" applyFont="1" applyFill="1" applyBorder="1" applyAlignment="1">
      <alignment horizontal="left" vertical="center" wrapText="1"/>
    </xf>
    <xf numFmtId="0" fontId="31" fillId="15" borderId="3" xfId="0" applyFont="1" applyFill="1" applyBorder="1" applyAlignment="1">
      <alignment horizontal="left" vertical="center" wrapText="1"/>
    </xf>
    <xf numFmtId="0" fontId="30" fillId="14" borderId="3" xfId="0" applyFont="1" applyFill="1" applyBorder="1" applyAlignment="1">
      <alignment horizontal="left" vertical="center" wrapText="1"/>
    </xf>
    <xf numFmtId="0" fontId="31" fillId="14" borderId="3" xfId="0" applyFont="1" applyFill="1" applyBorder="1" applyAlignment="1">
      <alignment horizontal="left" vertical="center" wrapText="1"/>
    </xf>
    <xf numFmtId="0" fontId="27" fillId="11" borderId="3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13" fillId="4" borderId="1" xfId="0" applyFont="1" applyFill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F0000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D6E4F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A"/>
      <rgbColor rgb="FFFFFF99"/>
      <rgbColor rgb="FF99CCFF"/>
      <rgbColor rgb="FFFF99CC"/>
      <rgbColor rgb="FFCC99FF"/>
      <rgbColor rgb="FFFFC7CE"/>
      <rgbColor rgb="FF2E75B6"/>
      <rgbColor rgb="FF33CCCC"/>
      <rgbColor rgb="FF99CC00"/>
      <rgbColor rgb="FFFFCC00"/>
      <rgbColor rgb="FFFF9900"/>
      <rgbColor rgb="FFFF6600"/>
      <rgbColor rgb="FF59595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50000</xdr:colOff>
      <xdr:row>12</xdr:row>
      <xdr:rowOff>30000</xdr:rowOff>
    </xdr:from>
    <xdr:to>
      <xdr:col>3</xdr:col>
      <xdr:colOff>2604300</xdr:colOff>
      <xdr:row>12</xdr:row>
      <xdr:rowOff>217650</xdr:rowOff>
    </xdr:to>
    <xdr:sp macro="Bootstrap_f2.RunBootstrap" textlink="">
      <xdr:nvSpPr>
        <xdr:cNvPr id="2" name="RunBootstrapBtn" descr="Run Bootstrap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Grp="1"/>
        </xdr:cNvSpPr>
      </xdr:nvSpPr>
      <xdr:spPr>
        <a:xfrm>
          <a:off x="0" y="0"/>
          <a:ext cx="1600000" cy="380000"/>
        </a:xfrm>
        <a:prstGeom prst="roundRect">
          <a:avLst>
            <a:gd name="adj" fmla="val 20000"/>
          </a:avLst>
        </a:prstGeom>
        <a:solidFill>
          <a:srgbClr val="1F6FBF"/>
        </a:solidFill>
        <a:ln w="25400">
          <a:solidFill>
            <a:srgbClr val="0D4A8A"/>
          </a:solidFill>
          <a:prstDash val="solid"/>
        </a:ln>
        <a:effectLst>
          <a:outerShdw blurRad="38100" dist="25400" dir="5400000" algn="ctr" rotWithShape="0">
            <a:srgbClr val="000000">
              <a:alpha val="35000"/>
            </a:srgbClr>
          </a:outerShdw>
        </a:effectLst>
      </xdr:spPr>
      <xdr:txBody>
        <a:bodyPr wrap="square" lIns="91440" tIns="45720" rIns="91440" bIns="45720" anchor="ctr" anchorCtr="1"/>
        <a:lstStyle/>
        <a:p>
          <a:pPr algn="ctr"/>
          <a:r>
            <a:rPr lang="en-US" sz="1300" b="1" spc="-100" dirty="0">
              <a:solidFill>
                <a:srgbClr val="FFFFFF"/>
              </a:solidFill>
              <a:latin typeface="Arial" pitchFamily="34" charset="0"/>
            </a:rPr>
            <a:t>▶  Run Bootstrap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C53"/>
  <sheetViews>
    <sheetView showGridLines="0" topLeftCell="A40" workbookViewId="0"/>
  </sheetViews>
  <sheetFormatPr defaultRowHeight="14.5"/>
  <cols>
    <col min="1" max="1" width="3" customWidth="1"/>
    <col min="2" max="2" width="54" customWidth="1"/>
    <col min="3" max="3" width="62" customWidth="1"/>
  </cols>
  <sheetData>
    <row r="1" spans="2:3" ht="48" customHeight="1">
      <c r="B1" s="33" t="s">
        <v>78</v>
      </c>
      <c r="C1" s="33" t="s">
        <v>79</v>
      </c>
    </row>
    <row r="2" spans="2:3" ht="20" customHeight="1">
      <c r="B2" s="28" t="s">
        <v>80</v>
      </c>
      <c r="C2" s="28" t="s">
        <v>81</v>
      </c>
    </row>
    <row r="3" spans="2:3" ht="22" customHeight="1">
      <c r="B3" s="26" t="s">
        <v>0</v>
      </c>
      <c r="C3" s="27" t="s">
        <v>82</v>
      </c>
    </row>
    <row r="4" spans="2:3" ht="32" customHeight="1">
      <c r="B4" s="31" t="s">
        <v>83</v>
      </c>
      <c r="C4" s="32" t="s">
        <v>84</v>
      </c>
    </row>
    <row r="5" spans="2:3" ht="32" customHeight="1">
      <c r="B5" s="29" t="s">
        <v>85</v>
      </c>
      <c r="C5" s="30" t="s">
        <v>86</v>
      </c>
    </row>
    <row r="6" spans="2:3" ht="32" customHeight="1">
      <c r="B6" s="31" t="s">
        <v>87</v>
      </c>
      <c r="C6" s="32" t="s">
        <v>88</v>
      </c>
    </row>
    <row r="7" spans="2:3" ht="32" customHeight="1">
      <c r="B7" s="29" t="s">
        <v>89</v>
      </c>
      <c r="C7" s="30" t="s">
        <v>90</v>
      </c>
    </row>
    <row r="8" spans="2:3" ht="32" customHeight="1">
      <c r="B8" s="31" t="s">
        <v>91</v>
      </c>
      <c r="C8" s="32" t="s">
        <v>92</v>
      </c>
    </row>
    <row r="9" spans="2:3" ht="6" customHeight="1">
      <c r="B9" s="29" t="s">
        <v>79</v>
      </c>
      <c r="C9" s="30" t="s">
        <v>79</v>
      </c>
    </row>
    <row r="10" spans="2:3" ht="22" customHeight="1">
      <c r="B10" s="26" t="s">
        <v>1</v>
      </c>
      <c r="C10" s="27" t="s">
        <v>93</v>
      </c>
    </row>
    <row r="11" spans="2:3" ht="32" customHeight="1">
      <c r="B11" s="31" t="s">
        <v>94</v>
      </c>
      <c r="C11" s="32" t="s">
        <v>95</v>
      </c>
    </row>
    <row r="12" spans="2:3" ht="32" customHeight="1">
      <c r="B12" s="29" t="s">
        <v>96</v>
      </c>
      <c r="C12" s="30" t="s">
        <v>97</v>
      </c>
    </row>
    <row r="13" spans="2:3" ht="32" customHeight="1">
      <c r="B13" s="31" t="s">
        <v>98</v>
      </c>
      <c r="C13" s="32" t="s">
        <v>99</v>
      </c>
    </row>
    <row r="14" spans="2:3" ht="32" customHeight="1">
      <c r="B14" s="29" t="s">
        <v>100</v>
      </c>
      <c r="C14" s="30" t="s">
        <v>101</v>
      </c>
    </row>
    <row r="15" spans="2:3" ht="32" customHeight="1">
      <c r="B15" s="31" t="s">
        <v>102</v>
      </c>
      <c r="C15" s="32" t="s">
        <v>103</v>
      </c>
    </row>
    <row r="16" spans="2:3" ht="32" customHeight="1">
      <c r="B16" s="29" t="s">
        <v>104</v>
      </c>
      <c r="C16" s="30" t="s">
        <v>105</v>
      </c>
    </row>
    <row r="17" spans="2:3" ht="6" customHeight="1">
      <c r="B17" s="29" t="s">
        <v>79</v>
      </c>
      <c r="C17" s="30" t="s">
        <v>79</v>
      </c>
    </row>
    <row r="18" spans="2:3" ht="22" customHeight="1">
      <c r="B18" s="26" t="s">
        <v>2</v>
      </c>
      <c r="C18" s="27" t="s">
        <v>106</v>
      </c>
    </row>
    <row r="19" spans="2:3" ht="32" customHeight="1">
      <c r="B19" s="31" t="s">
        <v>107</v>
      </c>
      <c r="C19" s="32" t="s">
        <v>108</v>
      </c>
    </row>
    <row r="20" spans="2:3" ht="32" customHeight="1">
      <c r="B20" s="29" t="s">
        <v>109</v>
      </c>
      <c r="C20" s="30" t="s">
        <v>110</v>
      </c>
    </row>
    <row r="21" spans="2:3" ht="32" customHeight="1">
      <c r="B21" s="31" t="s">
        <v>111</v>
      </c>
      <c r="C21" s="32" t="s">
        <v>112</v>
      </c>
    </row>
    <row r="22" spans="2:3" ht="32" customHeight="1">
      <c r="B22" s="29" t="s">
        <v>113</v>
      </c>
      <c r="C22" s="30" t="s">
        <v>114</v>
      </c>
    </row>
    <row r="23" spans="2:3" ht="32" customHeight="1">
      <c r="B23" s="31" t="s">
        <v>115</v>
      </c>
      <c r="C23" s="32" t="s">
        <v>116</v>
      </c>
    </row>
    <row r="24" spans="2:3" ht="32" customHeight="1">
      <c r="B24" s="29" t="s">
        <v>117</v>
      </c>
      <c r="C24" s="30" t="s">
        <v>118</v>
      </c>
    </row>
    <row r="25" spans="2:3" ht="6" customHeight="1">
      <c r="B25" s="29" t="s">
        <v>79</v>
      </c>
      <c r="C25" s="30" t="s">
        <v>79</v>
      </c>
    </row>
    <row r="26" spans="2:3" ht="22" customHeight="1">
      <c r="B26" s="26" t="s">
        <v>3</v>
      </c>
      <c r="C26" s="27" t="s">
        <v>119</v>
      </c>
    </row>
    <row r="27" spans="2:3" ht="32" customHeight="1">
      <c r="B27" s="31" t="s">
        <v>120</v>
      </c>
      <c r="C27" s="32" t="s">
        <v>121</v>
      </c>
    </row>
    <row r="28" spans="2:3" ht="32" customHeight="1">
      <c r="B28" s="29" t="s">
        <v>122</v>
      </c>
      <c r="C28" s="30" t="s">
        <v>123</v>
      </c>
    </row>
    <row r="29" spans="2:3" ht="32" customHeight="1">
      <c r="B29" s="31" t="s">
        <v>124</v>
      </c>
      <c r="C29" s="32" t="s">
        <v>125</v>
      </c>
    </row>
    <row r="30" spans="2:3" ht="32" customHeight="1">
      <c r="B30" s="29" t="s">
        <v>126</v>
      </c>
      <c r="C30" s="30" t="s">
        <v>127</v>
      </c>
    </row>
    <row r="31" spans="2:3" ht="6" customHeight="1">
      <c r="B31" s="29" t="s">
        <v>79</v>
      </c>
      <c r="C31" s="30" t="s">
        <v>79</v>
      </c>
    </row>
    <row r="32" spans="2:3" ht="22" customHeight="1">
      <c r="B32" s="26" t="s">
        <v>128</v>
      </c>
      <c r="C32" s="27" t="s">
        <v>129</v>
      </c>
    </row>
    <row r="33" spans="2:3" ht="32" customHeight="1">
      <c r="B33" s="31" t="s">
        <v>130</v>
      </c>
      <c r="C33" s="32" t="s">
        <v>131</v>
      </c>
    </row>
    <row r="34" spans="2:3" ht="32" customHeight="1">
      <c r="B34" s="29" t="s">
        <v>132</v>
      </c>
      <c r="C34" s="30" t="s">
        <v>133</v>
      </c>
    </row>
    <row r="35" spans="2:3" ht="32" customHeight="1">
      <c r="B35" s="31" t="s">
        <v>134</v>
      </c>
      <c r="C35" s="32" t="s">
        <v>135</v>
      </c>
    </row>
    <row r="36" spans="2:3" ht="32" customHeight="1">
      <c r="B36" s="29" t="s">
        <v>136</v>
      </c>
      <c r="C36" s="30" t="s">
        <v>137</v>
      </c>
    </row>
    <row r="37" spans="2:3" ht="32" customHeight="1">
      <c r="B37" s="31" t="s">
        <v>138</v>
      </c>
      <c r="C37" s="32" t="s">
        <v>139</v>
      </c>
    </row>
    <row r="38" spans="2:3" ht="6" customHeight="1">
      <c r="B38" s="29" t="s">
        <v>79</v>
      </c>
      <c r="C38" s="30" t="s">
        <v>79</v>
      </c>
    </row>
    <row r="39" spans="2:3" ht="22" customHeight="1">
      <c r="B39" s="26" t="s">
        <v>140</v>
      </c>
      <c r="C39" s="27" t="s">
        <v>141</v>
      </c>
    </row>
    <row r="40" spans="2:3" ht="32" customHeight="1">
      <c r="B40" s="31" t="s">
        <v>142</v>
      </c>
      <c r="C40" s="32" t="s">
        <v>143</v>
      </c>
    </row>
    <row r="41" spans="2:3" ht="32" customHeight="1">
      <c r="B41" s="29" t="s">
        <v>144</v>
      </c>
      <c r="C41" s="30" t="s">
        <v>145</v>
      </c>
    </row>
    <row r="42" spans="2:3" ht="32" customHeight="1">
      <c r="B42" s="31" t="s">
        <v>146</v>
      </c>
      <c r="C42" s="32" t="s">
        <v>147</v>
      </c>
    </row>
    <row r="43" spans="2:3" ht="32" customHeight="1">
      <c r="B43" s="29" t="s">
        <v>148</v>
      </c>
      <c r="C43" s="30" t="s">
        <v>149</v>
      </c>
    </row>
    <row r="44" spans="2:3" ht="32" customHeight="1">
      <c r="B44" s="31" t="s">
        <v>150</v>
      </c>
      <c r="C44" s="32" t="s">
        <v>151</v>
      </c>
    </row>
    <row r="45" spans="2:3" ht="32" customHeight="1">
      <c r="B45" s="29" t="s">
        <v>152</v>
      </c>
      <c r="C45" s="30" t="s">
        <v>153</v>
      </c>
    </row>
    <row r="46" spans="2:3" ht="6" customHeight="1">
      <c r="B46" s="29" t="s">
        <v>79</v>
      </c>
      <c r="C46" s="30" t="s">
        <v>79</v>
      </c>
    </row>
    <row r="47" spans="2:3" ht="22" customHeight="1">
      <c r="B47" s="26" t="s">
        <v>154</v>
      </c>
      <c r="C47" s="27" t="s">
        <v>155</v>
      </c>
    </row>
    <row r="48" spans="2:3" ht="32" customHeight="1">
      <c r="B48" s="31" t="s">
        <v>4</v>
      </c>
      <c r="C48" s="32" t="s">
        <v>4</v>
      </c>
    </row>
    <row r="49" spans="2:3" ht="32" customHeight="1">
      <c r="B49" s="29" t="s">
        <v>156</v>
      </c>
      <c r="C49" s="30" t="s">
        <v>157</v>
      </c>
    </row>
    <row r="50" spans="2:3" ht="32" customHeight="1">
      <c r="B50" s="31" t="s">
        <v>158</v>
      </c>
      <c r="C50" s="32" t="s">
        <v>159</v>
      </c>
    </row>
    <row r="51" spans="2:3" ht="32" customHeight="1">
      <c r="B51" s="29" t="s">
        <v>160</v>
      </c>
      <c r="C51" s="30" t="s">
        <v>160</v>
      </c>
    </row>
    <row r="52" spans="2:3" ht="32" customHeight="1">
      <c r="B52" s="31" t="s">
        <v>161</v>
      </c>
      <c r="C52" s="32" t="s">
        <v>161</v>
      </c>
    </row>
    <row r="53" spans="2:3" ht="6" customHeight="1">
      <c r="B53" s="29" t="s">
        <v>79</v>
      </c>
      <c r="C53" s="30" t="s">
        <v>79</v>
      </c>
    </row>
  </sheetData>
  <mergeCells count="1">
    <mergeCell ref="B1:C1"/>
  </mergeCells>
  <phoneticPr fontId="2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1"/>
  <sheetViews>
    <sheetView showGridLines="0" zoomScaleNormal="100" workbookViewId="0">
      <selection activeCell="S12" sqref="S12"/>
    </sheetView>
  </sheetViews>
  <sheetFormatPr defaultColWidth="8.6328125" defaultRowHeight="14.5"/>
  <cols>
    <col min="1" max="1" width="3" customWidth="1"/>
    <col min="2" max="2" width="12" customWidth="1"/>
    <col min="3" max="18" width="8" customWidth="1"/>
  </cols>
  <sheetData>
    <row r="1" spans="2:17" ht="27.75" customHeight="1">
      <c r="B1" s="34" t="s">
        <v>5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2:17" ht="15.75" customHeight="1">
      <c r="B2" s="35" t="s">
        <v>6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2:17" ht="13.5" customHeight="1">
      <c r="B3" s="36" t="s">
        <v>7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</row>
    <row r="4" spans="2:17" ht="21.75" customHeight="1">
      <c r="B4" s="2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2" t="s">
        <v>21</v>
      </c>
      <c r="P4" s="4" t="s">
        <v>22</v>
      </c>
      <c r="Q4" s="4" t="s">
        <v>23</v>
      </c>
    </row>
    <row r="5" spans="2:17" ht="18" customHeight="1">
      <c r="B5" s="5">
        <v>3</v>
      </c>
      <c r="C5" s="6">
        <v>16.940000000000001</v>
      </c>
      <c r="D5" s="6">
        <v>14.89</v>
      </c>
      <c r="E5" s="6">
        <v>17.43</v>
      </c>
      <c r="F5" s="6">
        <v>20.260000000000002</v>
      </c>
      <c r="G5" s="6">
        <v>14.58</v>
      </c>
      <c r="H5" s="6">
        <v>14.58</v>
      </c>
      <c r="I5" s="6">
        <v>20.440000000000001</v>
      </c>
      <c r="J5" s="6">
        <v>17.82</v>
      </c>
      <c r="K5" s="6">
        <v>13.82</v>
      </c>
      <c r="L5" s="6">
        <v>17.09</v>
      </c>
      <c r="M5" s="6">
        <v>13.84</v>
      </c>
      <c r="N5" s="6">
        <v>13.84</v>
      </c>
      <c r="O5" s="7">
        <f t="shared" ref="O5:O10" si="0">AVERAGE(C5:N5)</f>
        <v>16.294166666666666</v>
      </c>
      <c r="P5" s="7">
        <f t="shared" ref="P5:P10" si="1">STDEV(C5:N5)</f>
        <v>2.4045466718218829</v>
      </c>
      <c r="Q5" s="8">
        <f t="shared" ref="Q5:Q10" si="2">IFERROR(IF(O5=0,"",P5/O5*100),"")</f>
        <v>14.757101243728632</v>
      </c>
    </row>
    <row r="6" spans="2:17" ht="18" customHeight="1">
      <c r="B6" s="5">
        <v>5</v>
      </c>
      <c r="C6" s="6">
        <v>37.549999999999997</v>
      </c>
      <c r="D6" s="6">
        <v>28.78</v>
      </c>
      <c r="E6" s="6">
        <v>29.55</v>
      </c>
      <c r="F6" s="6">
        <v>34.28</v>
      </c>
      <c r="G6" s="6">
        <v>32.450000000000003</v>
      </c>
      <c r="H6" s="6">
        <v>37.85</v>
      </c>
      <c r="I6" s="6">
        <v>32.869999999999997</v>
      </c>
      <c r="J6" s="6">
        <v>30.82</v>
      </c>
      <c r="K6" s="6">
        <v>42.54</v>
      </c>
      <c r="L6" s="6">
        <v>35.65</v>
      </c>
      <c r="M6" s="6">
        <v>36.840000000000003</v>
      </c>
      <c r="N6" s="6">
        <v>30.77</v>
      </c>
      <c r="O6" s="7">
        <f t="shared" si="0"/>
        <v>34.162500000000001</v>
      </c>
      <c r="P6" s="7">
        <f t="shared" si="1"/>
        <v>4.0696417644442482</v>
      </c>
      <c r="Q6" s="8">
        <f t="shared" si="2"/>
        <v>11.9125993836641</v>
      </c>
    </row>
    <row r="7" spans="2:17" ht="18" customHeight="1">
      <c r="B7" s="5">
        <v>7</v>
      </c>
      <c r="C7" s="6">
        <v>47.25</v>
      </c>
      <c r="D7" s="6">
        <v>51.15</v>
      </c>
      <c r="E7" s="6">
        <v>43.64</v>
      </c>
      <c r="F7" s="6">
        <v>52.73</v>
      </c>
      <c r="G7" s="6">
        <v>46.92</v>
      </c>
      <c r="H7" s="6">
        <v>48.75</v>
      </c>
      <c r="I7" s="6">
        <v>46.91</v>
      </c>
      <c r="J7" s="6">
        <v>61.51</v>
      </c>
      <c r="K7" s="6">
        <v>50.41</v>
      </c>
      <c r="L7" s="6">
        <v>44.2</v>
      </c>
      <c r="M7" s="6">
        <v>55.38</v>
      </c>
      <c r="N7" s="6">
        <v>43.23</v>
      </c>
      <c r="O7" s="7">
        <f t="shared" si="0"/>
        <v>49.34</v>
      </c>
      <c r="P7" s="7">
        <f t="shared" si="1"/>
        <v>5.3361784078120582</v>
      </c>
      <c r="Q7" s="8">
        <f t="shared" si="2"/>
        <v>10.815116351463432</v>
      </c>
    </row>
    <row r="8" spans="2:17" ht="18" customHeight="1">
      <c r="B8" s="5">
        <v>10</v>
      </c>
      <c r="C8" s="6">
        <v>69.83</v>
      </c>
      <c r="D8" s="6">
        <v>55.73</v>
      </c>
      <c r="E8" s="6">
        <v>59.84</v>
      </c>
      <c r="F8" s="6">
        <v>69.75</v>
      </c>
      <c r="G8" s="6">
        <v>73.27</v>
      </c>
      <c r="H8" s="6">
        <v>69.58</v>
      </c>
      <c r="I8" s="6">
        <v>67.72</v>
      </c>
      <c r="J8" s="6">
        <v>66.510000000000005</v>
      </c>
      <c r="K8" s="6">
        <v>58.86</v>
      </c>
      <c r="L8" s="6">
        <v>63.79</v>
      </c>
      <c r="M8" s="6">
        <v>65.48</v>
      </c>
      <c r="N8" s="6">
        <v>75.34</v>
      </c>
      <c r="O8" s="7">
        <f t="shared" si="0"/>
        <v>66.308333333333337</v>
      </c>
      <c r="P8" s="7">
        <f t="shared" si="1"/>
        <v>5.9027464075221081</v>
      </c>
      <c r="Q8" s="8">
        <f t="shared" si="2"/>
        <v>8.9019676876040332</v>
      </c>
    </row>
    <row r="9" spans="2:17" ht="18" customHeight="1">
      <c r="B9" s="5">
        <v>15</v>
      </c>
      <c r="C9" s="6">
        <v>79.83</v>
      </c>
      <c r="D9" s="6">
        <v>66.36</v>
      </c>
      <c r="E9" s="6">
        <v>79.7</v>
      </c>
      <c r="F9" s="6">
        <v>75.17</v>
      </c>
      <c r="G9" s="6">
        <v>73.3</v>
      </c>
      <c r="H9" s="6">
        <v>81.540000000000006</v>
      </c>
      <c r="I9" s="6">
        <v>84.22</v>
      </c>
      <c r="J9" s="6">
        <v>83.58</v>
      </c>
      <c r="K9" s="6">
        <v>72.27</v>
      </c>
      <c r="L9" s="6">
        <v>75.650000000000006</v>
      </c>
      <c r="M9" s="6">
        <v>79.75</v>
      </c>
      <c r="N9" s="6">
        <v>83.86</v>
      </c>
      <c r="O9" s="7">
        <f t="shared" si="0"/>
        <v>77.935833333333335</v>
      </c>
      <c r="P9" s="7">
        <f t="shared" si="1"/>
        <v>5.4763283292455149</v>
      </c>
      <c r="Q9" s="8">
        <f t="shared" si="2"/>
        <v>7.0267142789416699</v>
      </c>
    </row>
    <row r="10" spans="2:17" ht="18" customHeight="1">
      <c r="B10" s="5">
        <v>30</v>
      </c>
      <c r="C10" s="6">
        <v>86.72</v>
      </c>
      <c r="D10" s="6">
        <v>88.87</v>
      </c>
      <c r="E10" s="6">
        <v>82.13</v>
      </c>
      <c r="F10" s="6">
        <v>81.47</v>
      </c>
      <c r="G10" s="6">
        <v>96.18</v>
      </c>
      <c r="H10" s="6">
        <v>100</v>
      </c>
      <c r="I10" s="6">
        <v>89.7</v>
      </c>
      <c r="J10" s="6">
        <v>97.58</v>
      </c>
      <c r="K10" s="6">
        <v>92.88</v>
      </c>
      <c r="L10" s="6">
        <v>85.51</v>
      </c>
      <c r="M10" s="6">
        <v>92.88</v>
      </c>
      <c r="N10" s="6">
        <v>100</v>
      </c>
      <c r="O10" s="7">
        <f t="shared" si="0"/>
        <v>91.160000000000011</v>
      </c>
      <c r="P10" s="7">
        <f t="shared" si="1"/>
        <v>6.4882663323880294</v>
      </c>
      <c r="Q10" s="8">
        <f t="shared" si="2"/>
        <v>7.1174488069197333</v>
      </c>
    </row>
    <row r="11" spans="2:17" ht="13.5" customHeight="1">
      <c r="B11" s="37" t="s">
        <v>24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</row>
  </sheetData>
  <mergeCells count="4">
    <mergeCell ref="B1:Q1"/>
    <mergeCell ref="B2:Q2"/>
    <mergeCell ref="B3:Q3"/>
    <mergeCell ref="B11:Q11"/>
  </mergeCells>
  <phoneticPr fontId="24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Q11"/>
  <sheetViews>
    <sheetView showGridLines="0" zoomScaleNormal="100" workbookViewId="0">
      <selection activeCell="G17" sqref="G17"/>
    </sheetView>
  </sheetViews>
  <sheetFormatPr defaultColWidth="8.6328125" defaultRowHeight="14.5"/>
  <cols>
    <col min="1" max="1" width="3" customWidth="1"/>
    <col min="2" max="2" width="12" customWidth="1"/>
    <col min="3" max="18" width="8" customWidth="1"/>
  </cols>
  <sheetData>
    <row r="1" spans="2:17" ht="27.75" customHeight="1">
      <c r="B1" s="34" t="s">
        <v>25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2:17" ht="15.75" customHeight="1">
      <c r="B2" s="35" t="s">
        <v>6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2:17" ht="13.5" customHeight="1">
      <c r="B3" s="36" t="s">
        <v>7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</row>
    <row r="4" spans="2:17" ht="21.75" customHeight="1">
      <c r="B4" s="2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2" t="s">
        <v>21</v>
      </c>
      <c r="P4" s="4" t="s">
        <v>22</v>
      </c>
      <c r="Q4" s="4" t="s">
        <v>23</v>
      </c>
    </row>
    <row r="5" spans="2:17" ht="18" customHeight="1">
      <c r="B5" s="5">
        <v>3</v>
      </c>
      <c r="C5" s="6">
        <v>7.89</v>
      </c>
      <c r="D5" s="6">
        <v>13.36</v>
      </c>
      <c r="E5" s="6">
        <v>2</v>
      </c>
      <c r="F5" s="6">
        <v>10.82</v>
      </c>
      <c r="G5" s="6">
        <v>8.31</v>
      </c>
      <c r="H5" s="6">
        <v>6.99</v>
      </c>
      <c r="I5" s="6">
        <v>8.32</v>
      </c>
      <c r="J5" s="6">
        <v>1.21</v>
      </c>
      <c r="K5" s="6">
        <v>7.26</v>
      </c>
      <c r="L5" s="6">
        <v>9.23</v>
      </c>
      <c r="M5" s="6">
        <v>13.06</v>
      </c>
      <c r="N5" s="6">
        <v>6.24</v>
      </c>
      <c r="O5" s="7">
        <f t="shared" ref="O5:O10" si="0">AVERAGE(C5:N5)</f>
        <v>7.890833333333334</v>
      </c>
      <c r="P5" s="7">
        <f t="shared" ref="P5:P10" si="1">STDEV(C5:N5)</f>
        <v>3.7005588234833664</v>
      </c>
      <c r="Q5" s="8">
        <f t="shared" ref="Q5:Q10" si="2">IFERROR(IF(O5=0,"",P5/O5*100),"")</f>
        <v>46.896933025451887</v>
      </c>
    </row>
    <row r="6" spans="2:17" ht="18" customHeight="1">
      <c r="B6" s="5">
        <v>5</v>
      </c>
      <c r="C6" s="6">
        <v>18.93</v>
      </c>
      <c r="D6" s="6">
        <v>20.02</v>
      </c>
      <c r="E6" s="6">
        <v>25.05</v>
      </c>
      <c r="F6" s="6">
        <v>22.97</v>
      </c>
      <c r="G6" s="6">
        <v>19.920000000000002</v>
      </c>
      <c r="H6" s="6">
        <v>23.62</v>
      </c>
      <c r="I6" s="6">
        <v>22.14</v>
      </c>
      <c r="J6" s="6">
        <v>25.24</v>
      </c>
      <c r="K6" s="6">
        <v>19.309999999999999</v>
      </c>
      <c r="L6" s="6">
        <v>20.64</v>
      </c>
      <c r="M6" s="6">
        <v>20.41</v>
      </c>
      <c r="N6" s="6">
        <v>16.600000000000001</v>
      </c>
      <c r="O6" s="7">
        <f t="shared" si="0"/>
        <v>21.237499999999997</v>
      </c>
      <c r="P6" s="7">
        <f t="shared" si="1"/>
        <v>2.6086155331900147</v>
      </c>
      <c r="Q6" s="8">
        <f t="shared" si="2"/>
        <v>12.28306313450272</v>
      </c>
    </row>
    <row r="7" spans="2:17" ht="18" customHeight="1">
      <c r="B7" s="5">
        <v>7</v>
      </c>
      <c r="C7" s="6">
        <v>44.33</v>
      </c>
      <c r="D7" s="6">
        <v>44.18</v>
      </c>
      <c r="E7" s="6">
        <v>43.08</v>
      </c>
      <c r="F7" s="6">
        <v>42.06</v>
      </c>
      <c r="G7" s="6">
        <v>37</v>
      </c>
      <c r="H7" s="6">
        <v>41.26</v>
      </c>
      <c r="I7" s="6">
        <v>41.59</v>
      </c>
      <c r="J7" s="6">
        <v>39.630000000000003</v>
      </c>
      <c r="K7" s="6">
        <v>42.37</v>
      </c>
      <c r="L7" s="6">
        <v>44.79</v>
      </c>
      <c r="M7" s="6">
        <v>51.13</v>
      </c>
      <c r="N7" s="6">
        <v>43.81</v>
      </c>
      <c r="O7" s="7">
        <f t="shared" si="0"/>
        <v>42.935833333333335</v>
      </c>
      <c r="P7" s="7">
        <f t="shared" si="1"/>
        <v>3.3942262696669134</v>
      </c>
      <c r="Q7" s="8">
        <f t="shared" si="2"/>
        <v>7.9053462018909917</v>
      </c>
    </row>
    <row r="8" spans="2:17" ht="18" customHeight="1">
      <c r="B8" s="5">
        <v>10</v>
      </c>
      <c r="C8" s="6">
        <v>67.52</v>
      </c>
      <c r="D8" s="6">
        <v>65.34</v>
      </c>
      <c r="E8" s="6">
        <v>53.24</v>
      </c>
      <c r="F8" s="6">
        <v>65.66</v>
      </c>
      <c r="G8" s="6">
        <v>66.23</v>
      </c>
      <c r="H8" s="6">
        <v>81.99</v>
      </c>
      <c r="I8" s="6">
        <v>64.569999999999993</v>
      </c>
      <c r="J8" s="6">
        <v>67.81</v>
      </c>
      <c r="K8" s="6">
        <v>65.599999999999994</v>
      </c>
      <c r="L8" s="6">
        <v>58.16</v>
      </c>
      <c r="M8" s="6">
        <v>73.33</v>
      </c>
      <c r="N8" s="6">
        <v>70.760000000000005</v>
      </c>
      <c r="O8" s="7">
        <f t="shared" si="0"/>
        <v>66.68416666666667</v>
      </c>
      <c r="P8" s="7">
        <f t="shared" si="1"/>
        <v>7.1295052210492935</v>
      </c>
      <c r="Q8" s="8">
        <f t="shared" si="2"/>
        <v>10.691451325600971</v>
      </c>
    </row>
    <row r="9" spans="2:17" ht="18" customHeight="1">
      <c r="B9" s="5">
        <v>15</v>
      </c>
      <c r="C9" s="6">
        <v>82.42</v>
      </c>
      <c r="D9" s="6">
        <v>67.540000000000006</v>
      </c>
      <c r="E9" s="6">
        <v>87.77</v>
      </c>
      <c r="F9" s="6">
        <v>63.23</v>
      </c>
      <c r="G9" s="6">
        <v>80.63</v>
      </c>
      <c r="H9" s="6">
        <v>94.67</v>
      </c>
      <c r="I9" s="6">
        <v>66.83</v>
      </c>
      <c r="J9" s="6">
        <v>70.540000000000006</v>
      </c>
      <c r="K9" s="6">
        <v>76.37</v>
      </c>
      <c r="L9" s="6">
        <v>71.09</v>
      </c>
      <c r="M9" s="6">
        <v>61.93</v>
      </c>
      <c r="N9" s="6">
        <v>76.099999999999994</v>
      </c>
      <c r="O9" s="7">
        <f t="shared" si="0"/>
        <v>74.926666666666662</v>
      </c>
      <c r="P9" s="7">
        <f t="shared" si="1"/>
        <v>10.030387768570028</v>
      </c>
      <c r="Q9" s="8">
        <f t="shared" si="2"/>
        <v>13.386939810352382</v>
      </c>
    </row>
    <row r="10" spans="2:17" ht="18" customHeight="1">
      <c r="B10" s="5">
        <v>30</v>
      </c>
      <c r="C10" s="6">
        <v>73.260000000000005</v>
      </c>
      <c r="D10" s="6">
        <v>89.12</v>
      </c>
      <c r="E10" s="6">
        <v>74.73</v>
      </c>
      <c r="F10" s="6">
        <v>100</v>
      </c>
      <c r="G10" s="6">
        <v>76.14</v>
      </c>
      <c r="H10" s="6">
        <v>80.900000000000006</v>
      </c>
      <c r="I10" s="6">
        <v>92.63</v>
      </c>
      <c r="J10" s="6">
        <v>71.52</v>
      </c>
      <c r="K10" s="6">
        <v>86.58</v>
      </c>
      <c r="L10" s="6">
        <v>97.73</v>
      </c>
      <c r="M10" s="6">
        <v>67.62</v>
      </c>
      <c r="N10" s="6">
        <v>86.14</v>
      </c>
      <c r="O10" s="7">
        <f t="shared" si="0"/>
        <v>83.030833333333334</v>
      </c>
      <c r="P10" s="7">
        <f t="shared" si="1"/>
        <v>10.625414180875584</v>
      </c>
      <c r="Q10" s="8">
        <f t="shared" si="2"/>
        <v>12.796949945352329</v>
      </c>
    </row>
    <row r="11" spans="2:17" ht="13.5" customHeight="1">
      <c r="B11" s="37" t="s">
        <v>24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</row>
  </sheetData>
  <mergeCells count="4">
    <mergeCell ref="B1:Q1"/>
    <mergeCell ref="B2:Q2"/>
    <mergeCell ref="B3:Q3"/>
    <mergeCell ref="B11:Q11"/>
  </mergeCells>
  <phoneticPr fontId="24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9"/>
  <sheetViews>
    <sheetView showGridLines="0" zoomScaleNormal="100" workbookViewId="0">
      <selection activeCell="C27" sqref="C27"/>
    </sheetView>
  </sheetViews>
  <sheetFormatPr defaultColWidth="8.6328125" defaultRowHeight="14.5"/>
  <cols>
    <col min="1" max="1" width="3" customWidth="1"/>
    <col min="2" max="2" width="32" customWidth="1"/>
    <col min="3" max="3" width="20" customWidth="1"/>
    <col min="4" max="4" width="40" customWidth="1"/>
  </cols>
  <sheetData>
    <row r="1" spans="2:4" ht="27.75" customHeight="1">
      <c r="B1" s="38" t="s">
        <v>26</v>
      </c>
      <c r="C1" s="38"/>
      <c r="D1" s="38"/>
    </row>
    <row r="2" spans="2:4">
      <c r="B2" s="2" t="s">
        <v>27</v>
      </c>
      <c r="C2" s="2" t="s">
        <v>28</v>
      </c>
      <c r="D2" s="2" t="s">
        <v>29</v>
      </c>
    </row>
    <row r="3" spans="2:4" ht="21.75" customHeight="1">
      <c r="B3" s="9" t="s">
        <v>30</v>
      </c>
      <c r="C3" s="10">
        <v>5000</v>
      </c>
      <c r="D3" s="11" t="s">
        <v>31</v>
      </c>
    </row>
    <row r="4" spans="2:4" ht="21.75" customHeight="1">
      <c r="B4" s="12" t="s">
        <v>32</v>
      </c>
      <c r="C4" s="10">
        <v>90</v>
      </c>
      <c r="D4" s="11" t="s">
        <v>33</v>
      </c>
    </row>
    <row r="5" spans="2:4" ht="21.75" customHeight="1">
      <c r="B5" s="12" t="s">
        <v>34</v>
      </c>
      <c r="C5" s="10" t="s">
        <v>35</v>
      </c>
      <c r="D5" s="13" t="s">
        <v>36</v>
      </c>
    </row>
    <row r="6" spans="2:4" ht="21.75" customHeight="1">
      <c r="B6" s="9" t="s">
        <v>37</v>
      </c>
      <c r="C6" s="10" t="s">
        <v>38</v>
      </c>
      <c r="D6" s="13" t="s">
        <v>39</v>
      </c>
    </row>
    <row r="7" spans="2:4" ht="21.75" customHeight="1">
      <c r="B7" s="12" t="s">
        <v>40</v>
      </c>
      <c r="C7" s="10">
        <v>42</v>
      </c>
      <c r="D7" s="11" t="s">
        <v>41</v>
      </c>
    </row>
    <row r="9" spans="2:4" ht="39.75" customHeight="1">
      <c r="B9" s="39" t="s">
        <v>42</v>
      </c>
      <c r="C9" s="39"/>
      <c r="D9" s="39"/>
    </row>
  </sheetData>
  <mergeCells count="2">
    <mergeCell ref="B1:D1"/>
    <mergeCell ref="B9:D9"/>
  </mergeCells>
  <phoneticPr fontId="24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E41"/>
  <sheetViews>
    <sheetView showGridLines="0" tabSelected="1" zoomScaleNormal="100" workbookViewId="0">
      <selection activeCell="E6" sqref="E6"/>
    </sheetView>
  </sheetViews>
  <sheetFormatPr defaultColWidth="8.6328125" defaultRowHeight="14.5"/>
  <cols>
    <col min="1" max="1" width="3" customWidth="1"/>
    <col min="2" max="2" width="40.81640625" customWidth="1"/>
    <col min="3" max="3" width="25.54296875" customWidth="1"/>
    <col min="4" max="4" width="38" customWidth="1"/>
  </cols>
  <sheetData>
    <row r="1" spans="2:4" ht="27.75" customHeight="1">
      <c r="B1" s="38" t="s">
        <v>43</v>
      </c>
      <c r="C1" s="38"/>
      <c r="D1" s="38"/>
    </row>
    <row r="3" spans="2:4" ht="19.5" customHeight="1">
      <c r="B3" s="40" t="s">
        <v>44</v>
      </c>
      <c r="C3" s="40"/>
      <c r="D3" s="40"/>
    </row>
    <row r="4" spans="2:4" ht="19.5" customHeight="1">
      <c r="B4" s="14" t="s">
        <v>45</v>
      </c>
      <c r="C4" s="23">
        <v>10.45</v>
      </c>
      <c r="D4" s="16" t="s">
        <v>46</v>
      </c>
    </row>
    <row r="5" spans="2:4" ht="19.5" customHeight="1">
      <c r="B5" s="14" t="s">
        <v>47</v>
      </c>
      <c r="C5" s="23">
        <v>61.68</v>
      </c>
      <c r="D5" s="16" t="s">
        <v>48</v>
      </c>
    </row>
    <row r="6" spans="2:4" ht="160" customHeight="1">
      <c r="B6" s="17" t="s">
        <v>49</v>
      </c>
      <c r="C6" s="15" t="s">
        <v>162</v>
      </c>
      <c r="D6" s="18" t="s">
        <v>50</v>
      </c>
    </row>
    <row r="7" spans="2:4" ht="19.5" customHeight="1">
      <c r="B7" s="14" t="s">
        <v>51</v>
      </c>
      <c r="C7" s="15" t="s">
        <v>74</v>
      </c>
      <c r="D7" s="18" t="s">
        <v>52</v>
      </c>
    </row>
    <row r="8" spans="2:4" ht="7.5" customHeight="1"/>
    <row r="9" spans="2:4" ht="19.5" customHeight="1">
      <c r="B9" s="40" t="s">
        <v>53</v>
      </c>
      <c r="C9" s="40"/>
      <c r="D9" s="40"/>
    </row>
    <row r="10" spans="2:4" ht="19.5" customHeight="1">
      <c r="B10" s="17" t="s">
        <v>54</v>
      </c>
      <c r="C10" s="15" t="s">
        <v>75</v>
      </c>
      <c r="D10" s="18"/>
    </row>
    <row r="11" spans="2:4" ht="19.5" customHeight="1">
      <c r="B11" s="14" t="s">
        <v>55</v>
      </c>
      <c r="C11" s="15" t="s">
        <v>76</v>
      </c>
      <c r="D11" s="18"/>
    </row>
    <row r="12" spans="2:4" ht="19.5" customHeight="1">
      <c r="B12" s="14" t="s">
        <v>56</v>
      </c>
      <c r="C12" s="15" t="s">
        <v>77</v>
      </c>
      <c r="D12" s="18"/>
    </row>
    <row r="13" spans="2:4" ht="19.5" customHeight="1">
      <c r="B13" s="17" t="s">
        <v>57</v>
      </c>
      <c r="C13" s="23">
        <v>55.94</v>
      </c>
      <c r="D13" s="18"/>
    </row>
    <row r="14" spans="2:4" ht="27.75" customHeight="1">
      <c r="B14" s="19" t="s">
        <v>58</v>
      </c>
      <c r="C14" s="24">
        <v>42.75</v>
      </c>
      <c r="D14" s="20" t="s">
        <v>59</v>
      </c>
    </row>
    <row r="15" spans="2:4" ht="19.5" customHeight="1">
      <c r="B15" s="17" t="s">
        <v>60</v>
      </c>
      <c r="C15" s="23">
        <v>66.22</v>
      </c>
      <c r="D15" s="18"/>
    </row>
    <row r="16" spans="2:4" ht="7.5" customHeight="1"/>
    <row r="17" spans="2:5" ht="19.5" customHeight="1">
      <c r="B17" s="40" t="s">
        <v>61</v>
      </c>
      <c r="C17" s="40"/>
      <c r="D17" s="40"/>
    </row>
    <row r="18" spans="2:5" ht="30" customHeight="1">
      <c r="B18" s="21" t="s">
        <v>62</v>
      </c>
      <c r="C18" s="25" t="s">
        <v>163</v>
      </c>
      <c r="D18" s="22"/>
    </row>
    <row r="19" spans="2:5" ht="7.5" customHeight="1"/>
    <row r="20" spans="2:5" ht="19.5" customHeight="1">
      <c r="B20" s="40" t="s">
        <v>63</v>
      </c>
      <c r="C20" s="40"/>
      <c r="D20" s="40"/>
    </row>
    <row r="21" spans="2:5" ht="19.5" customHeight="1">
      <c r="B21" s="14" t="s">
        <v>64</v>
      </c>
      <c r="C21" s="23">
        <v>31.57</v>
      </c>
      <c r="D21" s="18"/>
    </row>
    <row r="22" spans="2:5" ht="19.5" customHeight="1">
      <c r="B22" s="14" t="s">
        <v>65</v>
      </c>
      <c r="C22" s="23">
        <v>57</v>
      </c>
      <c r="D22" s="18"/>
    </row>
    <row r="23" spans="2:5" ht="19.5" customHeight="1">
      <c r="B23" s="14" t="s">
        <v>66</v>
      </c>
      <c r="C23" s="23">
        <v>74.959999999999994</v>
      </c>
      <c r="D23" s="18"/>
    </row>
    <row r="24" spans="2:5" ht="19.5" customHeight="1">
      <c r="B24" s="14" t="s">
        <v>67</v>
      </c>
      <c r="C24" s="23">
        <v>7.23</v>
      </c>
      <c r="D24" s="18"/>
    </row>
    <row r="25" spans="2:5" ht="7.5" customHeight="1"/>
    <row r="26" spans="2:5" ht="19.5" customHeight="1">
      <c r="B26" s="40" t="s">
        <v>68</v>
      </c>
      <c r="C26" s="40"/>
      <c r="D26" s="40"/>
    </row>
    <row r="27" spans="2:5" ht="19.5" customHeight="1">
      <c r="B27" s="2" t="s">
        <v>69</v>
      </c>
      <c r="C27" s="2" t="s">
        <v>70</v>
      </c>
      <c r="D27" s="2" t="s">
        <v>71</v>
      </c>
      <c r="E27" s="4" t="s">
        <v>72</v>
      </c>
    </row>
    <row r="28" spans="2:5" ht="18" customHeight="1">
      <c r="B28" s="1">
        <v>1</v>
      </c>
      <c r="C28" s="22">
        <v>15.27</v>
      </c>
      <c r="D28" s="22">
        <v>10.210000000000001</v>
      </c>
      <c r="E28" s="22">
        <v>5.05</v>
      </c>
    </row>
    <row r="29" spans="2:5" ht="18" customHeight="1">
      <c r="B29" s="1">
        <v>2</v>
      </c>
      <c r="C29" s="22">
        <v>30.67</v>
      </c>
      <c r="D29" s="22">
        <v>19.399999999999999</v>
      </c>
      <c r="E29" s="22">
        <v>11.27</v>
      </c>
    </row>
    <row r="30" spans="2:5" ht="18" customHeight="1">
      <c r="B30" s="1">
        <v>3</v>
      </c>
      <c r="C30" s="22">
        <v>43.84</v>
      </c>
      <c r="D30" s="22">
        <v>37.96</v>
      </c>
      <c r="E30" s="22">
        <v>5.87</v>
      </c>
    </row>
    <row r="31" spans="2:5" ht="18" customHeight="1">
      <c r="B31" s="1">
        <v>4</v>
      </c>
      <c r="C31" s="22">
        <v>58.45</v>
      </c>
      <c r="D31" s="22">
        <v>58.98</v>
      </c>
      <c r="E31" s="22">
        <v>0.53</v>
      </c>
    </row>
    <row r="32" spans="2:5" ht="18" customHeight="1">
      <c r="B32" s="1">
        <v>5</v>
      </c>
      <c r="C32" s="22">
        <v>68.38</v>
      </c>
      <c r="D32" s="22">
        <v>66.5</v>
      </c>
      <c r="E32" s="22">
        <v>1.88</v>
      </c>
    </row>
    <row r="33" spans="2:5" ht="18" customHeight="1">
      <c r="B33" s="1">
        <v>6</v>
      </c>
      <c r="C33" s="22">
        <v>79.91</v>
      </c>
      <c r="D33" s="22">
        <v>73.52</v>
      </c>
      <c r="E33" s="22">
        <v>6.39</v>
      </c>
    </row>
    <row r="34" spans="2:5" ht="18" customHeight="1">
      <c r="B34" s="1">
        <v>7</v>
      </c>
      <c r="C34" s="22">
        <v>0</v>
      </c>
      <c r="D34" s="22">
        <v>0</v>
      </c>
      <c r="E34" s="22">
        <v>0</v>
      </c>
    </row>
    <row r="35" spans="2:5" ht="18" customHeight="1">
      <c r="B35" s="1"/>
      <c r="C35" s="22"/>
      <c r="D35" s="22"/>
      <c r="E35" s="22"/>
    </row>
    <row r="36" spans="2:5" ht="18" customHeight="1">
      <c r="B36" s="1"/>
      <c r="C36" s="22"/>
      <c r="D36" s="22"/>
      <c r="E36" s="22"/>
    </row>
    <row r="37" spans="2:5" ht="18" customHeight="1">
      <c r="B37" s="1"/>
      <c r="C37" s="22"/>
      <c r="D37" s="22"/>
      <c r="E37" s="22"/>
    </row>
    <row r="38" spans="2:5" ht="18" customHeight="1">
      <c r="B38" s="1"/>
      <c r="C38" s="22"/>
      <c r="D38" s="22"/>
      <c r="E38" s="22"/>
    </row>
    <row r="39" spans="2:5" ht="18" customHeight="1">
      <c r="B39" s="1"/>
      <c r="C39" s="22"/>
      <c r="D39" s="22"/>
      <c r="E39" s="22"/>
    </row>
    <row r="41" spans="2:5" ht="36" customHeight="1">
      <c r="B41" s="41" t="s">
        <v>73</v>
      </c>
      <c r="C41" s="41"/>
      <c r="D41" s="41"/>
    </row>
  </sheetData>
  <mergeCells count="7">
    <mergeCell ref="B26:D26"/>
    <mergeCell ref="B41:D41"/>
    <mergeCell ref="B1:D1"/>
    <mergeCell ref="B3:D3"/>
    <mergeCell ref="B9:D9"/>
    <mergeCell ref="B17:D17"/>
    <mergeCell ref="B20:D20"/>
  </mergeCells>
  <phoneticPr fontId="24" type="noConversion"/>
  <pageMargins left="0.75" right="0.75" top="1" bottom="1" header="0.511811023622047" footer="0.511811023622047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使用说明</vt:lpstr>
      <vt:lpstr>参比数据</vt:lpstr>
      <vt:lpstr>受试数据</vt:lpstr>
      <vt:lpstr>参数设置</vt:lpstr>
      <vt:lpstr>计算结果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Zqb</cp:lastModifiedBy>
  <cp:revision>0</cp:revision>
  <dcterms:created xsi:type="dcterms:W3CDTF">2026-05-10T10:26:19Z</dcterms:created>
  <dcterms:modified xsi:type="dcterms:W3CDTF">2026-05-15T05:17:58Z</dcterms:modified>
  <dc:language>en-US</dc:language>
</cp:coreProperties>
</file>